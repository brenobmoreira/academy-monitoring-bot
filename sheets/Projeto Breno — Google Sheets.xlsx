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e" sheetId="1" r:id="rId5"/>
    <sheet state="visible" name="Painel" sheetId="2" r:id="rId6"/>
    <sheet state="visible" name="Progressão" sheetId="3" r:id="rId7"/>
    <sheet state="visible" name="Macros e perfil" sheetId="4" r:id="rId8"/>
    <sheet state="visible" name="Ficha de treino" sheetId="5" r:id="rId9"/>
    <sheet state="visible" name="Registro de treino" sheetId="6" r:id="rId10"/>
    <sheet state="visible" name="Dieta base" sheetId="7" r:id="rId11"/>
    <sheet state="visible" name="Equivalências" sheetId="8" r:id="rId12"/>
    <sheet state="visible" name="Alimentação" sheetId="9" r:id="rId13"/>
    <sheet state="visible" name="Diário" sheetId="10" r:id="rId14"/>
    <sheet state="visible" name="Semanas" sheetId="11" r:id="rId15"/>
    <sheet state="visible" name="Medidas e fotos" sheetId="12" r:id="rId16"/>
    <sheet state="visible" name="Revisões" sheetId="13" r:id="rId17"/>
    <sheet state="visible" name="Alimentos" sheetId="14" r:id="rId18"/>
    <sheet state="visible" name="Guia e fontes" sheetId="15" r:id="rId19"/>
    <sheet state="visible" name="Histórico de metas" sheetId="16" r:id="rId20"/>
    <sheet state="visible" name="Exercícios" sheetId="17" r:id="rId21"/>
    <sheet state="visible" name="Histórico de fichas" sheetId="18" r:id="rId22"/>
    <sheet state="visible" name="Favoritas" sheetId="19" r:id="rId23"/>
    <sheet state="visible" name="Ingredientes" sheetId="20" r:id="rId24"/>
  </sheets>
  <definedNames>
    <definedName hidden="1" localSheetId="17" name="Z_4C1E5E0C_D3B0_4F12_847E_16434837405D_.wvu.FilterData">'Histórico de fichas'!$A$5:$O$49</definedName>
    <definedName hidden="1" localSheetId="10" name="Z_2D33DF88_7004_437F_AA82_6231C0DF7474_.wvu.FilterData">Semanas!$A$5:$V$1000</definedName>
    <definedName hidden="1" localSheetId="11" name="Z_8B863CB3_4C6E_4164_B85C_E64DA83AE8A7_.wvu.FilterData">'Medidas e fotos'!$A$5:$J$45</definedName>
    <definedName hidden="1" localSheetId="18" name="Z_A407443B_149B_48D8_97A2_C7311BC14693_.wvu.FilterData">Favoritas!$A$5:$H$1000</definedName>
    <definedName hidden="1" localSheetId="15" name="Z_3F6278CC_8AA6_425D_9E26_F2E35FC2CCFC_.wvu.FilterData">'Histórico de metas'!$A$5:$L$6</definedName>
    <definedName hidden="1" localSheetId="19" name="Z_83993DDC_F9E9_4E47_8B0B_AE917F5B07A6_.wvu.FilterData">Ingredientes!$A$5:$J$1000</definedName>
    <definedName hidden="1" localSheetId="16" name="Z_0FC65A5E_CB6B_4866_9922_5619B2C97A5B_.wvu.FilterData">'Exercícios'!$A$5:$C$44</definedName>
    <definedName hidden="1" localSheetId="9" name="Z_2B3428F0_DDF9_4C7F_9789_E0B0F48B1A95_.wvu.FilterData">'Diário'!$A$5:$AG$1000</definedName>
    <definedName hidden="1" localSheetId="12" name="Z_D0D4E30B_72AE_4D89_B522_6259D7B90184_.wvu.FilterData">'Revisões'!$A$5:$H$55</definedName>
  </definedNames>
  <calcPr/>
  <customWorkbookViews>
    <customWorkbookView activeSheetId="0" maximized="1" windowHeight="0" windowWidth="0" guid="{4C1E5E0C-D3B0-4F12-847E-16434837405D}" name="Fichas filter view"/>
    <customWorkbookView activeSheetId="0" maximized="1" windowHeight="0" windowWidth="0" guid="{2D33DF88-7004-437F-AA82-6231C0DF7474}" name="ResumoSemanal filter view"/>
    <customWorkbookView activeSheetId="0" maximized="1" windowHeight="0" windowWidth="0" guid="{8B863CB3-4C6E-4164-B85C-E64DA83AE8A7}" name="MedidasFotos filter view"/>
    <customWorkbookView activeSheetId="0" maximized="1" windowHeight="0" windowWidth="0" guid="{A407443B-149B-48D8-97A2-C7311BC14693}" name="Favoritas filter view"/>
    <customWorkbookView activeSheetId="0" maximized="1" windowHeight="0" windowWidth="0" guid="{3F6278CC-8AA6-425D-9E26-F2E35FC2CCFC}" name="Metas filter view"/>
    <customWorkbookView activeSheetId="0" maximized="1" windowHeight="0" windowWidth="0" guid="{83993DDC-F9E9-4E47-8B0B-AE917F5B07A6}" name="Ingredientes filter view"/>
    <customWorkbookView activeSheetId="0" maximized="1" windowHeight="0" windowWidth="0" guid="{0FC65A5E-CB6B-4866-9922-5619B2C97A5B}" name="Exercicios filter view"/>
    <customWorkbookView activeSheetId="0" maximized="1" windowHeight="0" windowWidth="0" guid="{2B3428F0-DDF9-4C7F-9789-E0B0F48B1A95}" name="RotinaDiaria filter view"/>
    <customWorkbookView activeSheetId="0" maximized="1" windowHeight="0" windowWidth="0" guid="{D0D4E30B-72AE-4D89-B522-6259D7B90184}" name="RevisoesProjeto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6">
      <text>
        <t xml:space="preserve">RIR da segunda série de trabalho. Zero é válido. Não preencher automaticamente.</t>
      </text>
    </comment>
    <comment authorId="0" ref="M26">
      <text>
        <t xml:space="preserve">RIR da primeira série de trabalho. Zero é válido.</t>
      </text>
    </comment>
    <comment authorId="0" ref="E16">
      <text>
        <t xml:space="preserve">Escolha a unidade em K16. Ex.: 2 un de ovo usa a conversão cadastrada; 2 g representa apenas 2 gramas.</t>
      </text>
    </comment>
    <comment authorId="0" ref="B9">
      <text>
        <t xml:space="preserve">Sim = registrou tudo que consumiu, mesmo fora do plano. Não significa cumprir a meta.</t>
      </text>
    </comment>
    <comment authorId="0" ref="B4">
      <text>
        <t xml:space="preserve">Selecione uma ação para executá-la; o campo volta para —. No celular, substitui o menu Projeto.</t>
      </text>
    </comment>
    <comment authorId="0" ref="B20">
      <text>
        <t xml:space="preserve">Descreva o que comeu quando não souber quantidades. Menu Projeto → Registrar sem cálculo. Valores desconhecidos ficam vazios.</t>
      </text>
    </comment>
  </commentList>
</comments>
</file>

<file path=xl/sharedStrings.xml><?xml version="1.0" encoding="utf-8"?>
<sst xmlns="http://schemas.openxmlformats.org/spreadsheetml/2006/main" count="1856" uniqueCount="676">
  <si>
    <t>Progressão por exercício</t>
  </si>
  <si>
    <t>Projeto Breno: registro rápido</t>
  </si>
  <si>
    <t>Use o menu Projeto. Salve o que souber; informações faltantes não impedem retomar o acompanhamento.</t>
  </si>
  <si>
    <t>Exercício</t>
  </si>
  <si>
    <t>Ação rápida</t>
  </si>
  <si>
    <t>Projeto Breno : perfil e referências iniciais</t>
  </si>
  <si>
    <t>—</t>
  </si>
  <si>
    <t>Para mudar metas após o início, use Nova meta na tela Hoje. O histórico preserva os dias já salvos.</t>
  </si>
  <si>
    <t>Data</t>
  </si>
  <si>
    <t>Parâmetro</t>
  </si>
  <si>
    <t>Valor editável</t>
  </si>
  <si>
    <t>Unidade / critério</t>
  </si>
  <si>
    <t>Origem e pendência</t>
  </si>
  <si>
    <t>Nome</t>
  </si>
  <si>
    <t>Breno</t>
  </si>
  <si>
    <t>Status</t>
  </si>
  <si>
    <t>Revisão 3.0 validada: fichas, unidades e volume dos work sets.</t>
  </si>
  <si>
    <t>Informado no chat</t>
  </si>
  <si>
    <t>Idade</t>
  </si>
  <si>
    <t>Peso kg</t>
  </si>
  <si>
    <t>anos</t>
  </si>
  <si>
    <t>24 no cadastro; confirmar quando oportuno.</t>
  </si>
  <si>
    <t>Altura</t>
  </si>
  <si>
    <t>Sono h</t>
  </si>
  <si>
    <t>m</t>
  </si>
  <si>
    <t>Informado</t>
  </si>
  <si>
    <t>Compare apenas work sets do mesmo exercício e critério de carga. Atualize pelo menu Projeto.</t>
  </si>
  <si>
    <t>Peso inicial</t>
  </si>
  <si>
    <t>Passos</t>
  </si>
  <si>
    <t>kg</t>
  </si>
  <si>
    <t>Informado; não é medição datada</t>
  </si>
  <si>
    <t>Início do acompanhamento</t>
  </si>
  <si>
    <t>Cardio min</t>
  </si>
  <si>
    <t>data</t>
  </si>
  <si>
    <t>Data do primeiro registro. O histórico usa datas reais.</t>
  </si>
  <si>
    <t>Meta de musculação</t>
  </si>
  <si>
    <t>sessões/semana</t>
  </si>
  <si>
    <t>Ajustar se a recuperação exigir</t>
  </si>
  <si>
    <t>Muay Thai</t>
  </si>
  <si>
    <t>Ficha</t>
  </si>
  <si>
    <t>Work 1 kg</t>
  </si>
  <si>
    <t>Work 1 reps</t>
  </si>
  <si>
    <t>Dias exatos a confirmar</t>
  </si>
  <si>
    <t>Work 2 kg</t>
  </si>
  <si>
    <t>Work 2 reps</t>
  </si>
  <si>
    <t>Volume work</t>
  </si>
  <si>
    <t>Work sets</t>
  </si>
  <si>
    <t>Cardio extra</t>
  </si>
  <si>
    <t>RIR work 1</t>
  </si>
  <si>
    <t>RIR work 2</t>
  </si>
  <si>
    <t>Sessão</t>
  </si>
  <si>
    <t>Sem cardio extra inicialmente</t>
  </si>
  <si>
    <t>Estado</t>
  </si>
  <si>
    <t>Leitura</t>
  </si>
  <si>
    <t>Proteína de referência</t>
  </si>
  <si>
    <t>g/dia</t>
  </si>
  <si>
    <t>Registrou tudo?</t>
  </si>
  <si>
    <t>Referência inicial. Metas vigentes e alterações ficam em Histórico de metas.</t>
  </si>
  <si>
    <t>Proteína faixa inferior</t>
  </si>
  <si>
    <t>Faixa discutida no chat</t>
  </si>
  <si>
    <t>Proteína faixa superior</t>
  </si>
  <si>
    <t>Energia de referência</t>
  </si>
  <si>
    <t>kcal/dia</t>
  </si>
  <si>
    <t>Referência inicial; novas metas devem ser criadas pelo botão Nova meta.</t>
  </si>
  <si>
    <t>Gordura de referência</t>
  </si>
  <si>
    <t>Faixa discutida: 60–70 g/dia</t>
  </si>
  <si>
    <t>Carboidrato de referência</t>
  </si>
  <si>
    <t>Não</t>
  </si>
  <si>
    <t>Muay Thai?</t>
  </si>
  <si>
    <t>Cintura cm</t>
  </si>
  <si>
    <t>Fome 1–5</t>
  </si>
  <si>
    <t>Cansaço 1–5</t>
  </si>
  <si>
    <t>Observações</t>
  </si>
  <si>
    <t>Calculado pelo saldo de energia após proteína e gordura</t>
  </si>
  <si>
    <t>Proteína / peso inicial</t>
  </si>
  <si>
    <t>g/kg/dia</t>
  </si>
  <si>
    <t>Calculado a partir da referência, sem estimar gasto</t>
  </si>
  <si>
    <t>Favorita</t>
  </si>
  <si>
    <t>Creatina planejada</t>
  </si>
  <si>
    <t>Uso não confirmado no chat do Breno</t>
  </si>
  <si>
    <t>Início da creatina</t>
  </si>
  <si>
    <t>Ajuda a interpretar mudanças de água corporal</t>
  </si>
  <si>
    <t>Saúde</t>
  </si>
  <si>
    <t>Não informado</t>
  </si>
  <si>
    <t>Relato, não avaliação clínica</t>
  </si>
  <si>
    <t>Tabagismo</t>
  </si>
  <si>
    <t>Não informado para Breno.</t>
  </si>
  <si>
    <t>Rotina</t>
  </si>
  <si>
    <t>Pouca caminhada</t>
  </si>
  <si>
    <t>Rotina individual do Breno.</t>
  </si>
  <si>
    <t>Objetivo</t>
  </si>
  <si>
    <t>Recomposição corporal</t>
  </si>
  <si>
    <t>Ganhar músculo e acompanhar cintura, desempenho e recuperação</t>
  </si>
  <si>
    <t>Status da ficha</t>
  </si>
  <si>
    <t>Porções</t>
  </si>
  <si>
    <t>Compare mesmo equipamento, amplitude e RIR. O volume é carga × repetições, não uma medida isolada de progresso.</t>
  </si>
  <si>
    <t>F002 — vigente desde 28/09/2026</t>
  </si>
  <si>
    <t>Luan revisa exercícios, séries e recuperação</t>
  </si>
  <si>
    <t>Revisor</t>
  </si>
  <si>
    <t>Luan</t>
  </si>
  <si>
    <t>Refeição</t>
  </si>
  <si>
    <t>Preencher data de revisão na aba Revisões</t>
  </si>
  <si>
    <t>Versão</t>
  </si>
  <si>
    <t>3.0 — Google Sheets / work sets</t>
  </si>
  <si>
    <t>Criada em 15/09/2026</t>
  </si>
  <si>
    <t>Semanas disponíveis</t>
  </si>
  <si>
    <t>Expansível</t>
  </si>
  <si>
    <t>semanas</t>
  </si>
  <si>
    <t>Tabelas crescem ao salvar. Cadastros: use Tab na última célula da tabela.</t>
  </si>
  <si>
    <t>Café da manhã</t>
  </si>
  <si>
    <t>Total da dieta base</t>
  </si>
  <si>
    <t>Calculado</t>
  </si>
  <si>
    <t>Unidade</t>
  </si>
  <si>
    <t>Energia proposta</t>
  </si>
  <si>
    <t>Alimento</t>
  </si>
  <si>
    <t>Quantidade</t>
  </si>
  <si>
    <t>kcal</t>
  </si>
  <si>
    <t>Comparar com referência inicial de 2.400 kcal.</t>
  </si>
  <si>
    <t>Proteína proposta</t>
  </si>
  <si>
    <t>Medição</t>
  </si>
  <si>
    <t>Estimada</t>
  </si>
  <si>
    <t>g</t>
  </si>
  <si>
    <t>Unidade →</t>
  </si>
  <si>
    <t>Carboidrato proposto</t>
  </si>
  <si>
    <t>Escolha a unidade: 2 un de ovo ≠ 2 g. Conversões caseiras são estimadas.</t>
  </si>
  <si>
    <t>Gordura proposta</t>
  </si>
  <si>
    <t>Fibra proposta</t>
  </si>
  <si>
    <t>Copiar da data</t>
  </si>
  <si>
    <t>Refeição ou Todas</t>
  </si>
  <si>
    <t>Aumentar fibras gradualmente conforme tolerância digestiva.</t>
  </si>
  <si>
    <t>Todas</t>
  </si>
  <si>
    <t>Refeição sem cálculo</t>
  </si>
  <si>
    <t>Fase</t>
  </si>
  <si>
    <t>Regular</t>
  </si>
  <si>
    <t>Ficha carregada</t>
  </si>
  <si>
    <t>Carga: siga o critério do cadastro de Exercícios. Preparação em cinza; work sets em verde.</t>
  </si>
  <si>
    <t>Aquec. kg</t>
  </si>
  <si>
    <t>Aquec. reps</t>
  </si>
  <si>
    <t>Feeder kg</t>
  </si>
  <si>
    <t>Feeder reps</t>
  </si>
  <si>
    <t>Dor 0–10</t>
  </si>
  <si>
    <t>Observação</t>
  </si>
  <si>
    <t>Projeto Breno: decisões da semana</t>
  </si>
  <si>
    <t>Semana iniciada em</t>
  </si>
  <si>
    <t>Peso médio kg</t>
  </si>
  <si>
    <t>RIR = repetições em reserva. Informe para cada work set; 0 é um registro válido.</t>
  </si>
  <si>
    <t>Feeder: 6 reps longe da falha. Trabalho: 2×6–10, 0–1 RIR. Apenas work sets entram nos indicadores.</t>
  </si>
  <si>
    <t>Mudança vs semana anterior kg</t>
  </si>
  <si>
    <t>Meta × realizado do dia</t>
  </si>
  <si>
    <t>Indicador</t>
  </si>
  <si>
    <t>Realizado</t>
  </si>
  <si>
    <t>Meta</t>
  </si>
  <si>
    <t>Comparação</t>
  </si>
  <si>
    <t>kcal — dias completos</t>
  </si>
  <si>
    <t>Proteína média g</t>
  </si>
  <si>
    <t>Gordura média g</t>
  </si>
  <si>
    <t>Dias completos com cálculo</t>
  </si>
  <si>
    <t>Proteína g</t>
  </si>
  <si>
    <t>Aderência calórica</t>
  </si>
  <si>
    <t>Aderência proteína</t>
  </si>
  <si>
    <t>Treinos realizados</t>
  </si>
  <si>
    <t>Gordura g</t>
  </si>
  <si>
    <t>Meta semanal de treinos</t>
  </si>
  <si>
    <t>Projeto Breno — ficha vigente F002</t>
  </si>
  <si>
    <t>Aquecimento e feeder ficam separados. Apenas as duas work sets entram no volume e na progressão.</t>
  </si>
  <si>
    <t>Passos médios</t>
  </si>
  <si>
    <t>Configuração e revisões</t>
  </si>
  <si>
    <t>Upper → Lower → Full Body. Organize os dias junto ao Muay Thai.</t>
  </si>
  <si>
    <t>Menu Projeto: carregar → registrar → salvar parcial ou concluir. Retome registros sem preencher dias atrasados.</t>
  </si>
  <si>
    <t>Sono médio h</t>
  </si>
  <si>
    <t>Grupo principal</t>
  </si>
  <si>
    <t>Registro por exercício e sessão</t>
  </si>
  <si>
    <t>Work sets adaptação</t>
  </si>
  <si>
    <t>Work sets regular</t>
  </si>
  <si>
    <t>Histórico: aquecimento e feeder preservados; volume calculado somente com Work 1 + Work 2. Salvar parcial permite retomar.</t>
  </si>
  <si>
    <t>Reps work mín.</t>
  </si>
  <si>
    <t>Cobertura de pesagens</t>
  </si>
  <si>
    <t>Reps work máx.</t>
  </si>
  <si>
    <t>RIR work adaptação máx.</t>
  </si>
  <si>
    <t>RIR work regular máx.</t>
  </si>
  <si>
    <t>Descanso s</t>
  </si>
  <si>
    <t>Equipamento / carga</t>
  </si>
  <si>
    <t>Alternativa</t>
  </si>
  <si>
    <t>Aquecimento kg</t>
  </si>
  <si>
    <t>Aquecimento reps</t>
  </si>
  <si>
    <t>Status do plano</t>
  </si>
  <si>
    <t>Tipos de série</t>
  </si>
  <si>
    <t>Leitura para revisão</t>
  </si>
  <si>
    <t>Work sets realizadas</t>
  </si>
  <si>
    <t>Volume work kg×reps</t>
  </si>
  <si>
    <t>Upper</t>
  </si>
  <si>
    <t>Work sets prescritas</t>
  </si>
  <si>
    <t>Reps work mín</t>
  </si>
  <si>
    <t>Reps work máx</t>
  </si>
  <si>
    <t>ID sessão</t>
  </si>
  <si>
    <t>Estado sessão</t>
  </si>
  <si>
    <t>Semana parcial</t>
  </si>
  <si>
    <t>Modelo de séries</t>
  </si>
  <si>
    <t>Supino inclinado</t>
  </si>
  <si>
    <t>Peito</t>
  </si>
  <si>
    <t>Metas históricas</t>
  </si>
  <si>
    <t>Aderência usa a meta gravada em cada dia.</t>
  </si>
  <si>
    <t>Faixas usadas</t>
  </si>
  <si>
    <t>kcal ±5%; gordura ±15%; proteína pela faixa individual.</t>
  </si>
  <si>
    <t>Próxima ação</t>
  </si>
  <si>
    <t>Revisar tolerância à musculação junto do Muay Thai.</t>
  </si>
  <si>
    <t>Supino inclinado máquina</t>
  </si>
  <si>
    <t>Cobertura alimentar</t>
  </si>
  <si>
    <t>Confirmado por Luan</t>
  </si>
  <si>
    <t>1 aquecimento + 1 feeder de 6 reps longe da falha + 2 work sets de 6–10 reps, 0–1 RIR.</t>
  </si>
  <si>
    <t>Puxada aberta</t>
  </si>
  <si>
    <t>Itens sem cálculo</t>
  </si>
  <si>
    <t>Costas</t>
  </si>
  <si>
    <t>Remada baixa com triângulo</t>
  </si>
  <si>
    <t>Supino reto na máquina</t>
  </si>
  <si>
    <t>Elevação lateral</t>
  </si>
  <si>
    <t>Ombros</t>
  </si>
  <si>
    <t>Crucifixo inverso</t>
  </si>
  <si>
    <t>Peck deck reverso</t>
  </si>
  <si>
    <t>Rosca Scott</t>
  </si>
  <si>
    <t>Bíceps</t>
  </si>
  <si>
    <t>Tríceps na corda</t>
  </si>
  <si>
    <t>Tríceps</t>
  </si>
  <si>
    <t>Lower</t>
  </si>
  <si>
    <t>Agachamento orientado</t>
  </si>
  <si>
    <t>Quadríceps</t>
  </si>
  <si>
    <t>Leg press</t>
  </si>
  <si>
    <t>Stiff orientado</t>
  </si>
  <si>
    <t>Posteriores</t>
  </si>
  <si>
    <t>Dieta base com porções revisáveis</t>
  </si>
  <si>
    <t>Base do chat ajustada nas porções para aproximar 2.400 kcal e a meta proteica. Ver alterações em Revisões.</t>
  </si>
  <si>
    <t>Carboidrato g</t>
  </si>
  <si>
    <t>Fibra g</t>
  </si>
  <si>
    <t>Adaptação / observação</t>
  </si>
  <si>
    <t>Ovo inteiro cru</t>
  </si>
  <si>
    <t>Mesa flexora</t>
  </si>
  <si>
    <t>Panturrilha em pé</t>
  </si>
  <si>
    <t>Panturrilhas</t>
  </si>
  <si>
    <t>Trocas por nutriente principal</t>
  </si>
  <si>
    <t>Trocas igualam um nutriente, não todos os macros. Quantidades calculadas são aproximações; confira o total da dieta.</t>
  </si>
  <si>
    <t>3 ovos médios; pesar cru na balança sem casca</t>
  </si>
  <si>
    <t>Margarina (estimativa)</t>
  </si>
  <si>
    <t>Panturrilha sentado</t>
  </si>
  <si>
    <t>Base</t>
  </si>
  <si>
    <t>Qtd. base</t>
  </si>
  <si>
    <t>Critério</t>
  </si>
  <si>
    <t>Qtd. equivalente</t>
  </si>
  <si>
    <t>kcal base</t>
  </si>
  <si>
    <t>kcal alternativa</t>
  </si>
  <si>
    <t>Diferença kcal</t>
  </si>
  <si>
    <t>Proteína alt.</t>
  </si>
  <si>
    <t>Carboidrato alt.</t>
  </si>
  <si>
    <t>Gordura alt.</t>
  </si>
  <si>
    <t>Abdominal na polia</t>
  </si>
  <si>
    <t>Peito de frango cozido</t>
  </si>
  <si>
    <t>Abdômen</t>
  </si>
  <si>
    <t>Registro diário de alimentação</t>
  </si>
  <si>
    <t>Proteína</t>
  </si>
  <si>
    <t>Consumo confirmado por você. Quantidades na unidade-base; conversão original nas observações. Sem cálculo = macros desconhecidos, nunca zero.</t>
  </si>
  <si>
    <t>Ovo inteiro cozido</t>
  </si>
  <si>
    <t>Gordura de preparo dos ovos na frigideira</t>
  </si>
  <si>
    <t>Pão integral</t>
  </si>
  <si>
    <t>Conferência</t>
  </si>
  <si>
    <t>ID lançamento</t>
  </si>
  <si>
    <t>Favorita / versão</t>
  </si>
  <si>
    <t>Full Body</t>
  </si>
  <si>
    <t>Cerca de 2 fatias</t>
  </si>
  <si>
    <t>Banana nanica</t>
  </si>
  <si>
    <t>Supino inclinado com halteres</t>
  </si>
  <si>
    <t>Queijo minas frescal</t>
  </si>
  <si>
    <t>Ovos: dividir gramas por 50 para estimar unidades. A gordura e as calorias aumentam nesta troca.</t>
  </si>
  <si>
    <t>Leite integral (estimativa)</t>
  </si>
  <si>
    <t>Remada com apoio</t>
  </si>
  <si>
    <t>Almoço</t>
  </si>
  <si>
    <t>Arroz branco cozido</t>
  </si>
  <si>
    <t>Máquina disponível; confirmar execução com Luan</t>
  </si>
  <si>
    <t>Whey (rótulo a conferir)</t>
  </si>
  <si>
    <t>Porção ajustada para aproximar o total de 2.400 kcal</t>
  </si>
  <si>
    <t>Feijão carioca cozido</t>
  </si>
  <si>
    <t>Rosca alternada</t>
  </si>
  <si>
    <t>Ajustado de 130–150 g para evitar excesso na soma do dia</t>
  </si>
  <si>
    <t>Cenoura cozida</t>
  </si>
  <si>
    <t>Exemplo de legumes</t>
  </si>
  <si>
    <t>Alface crua</t>
  </si>
  <si>
    <t>Azeite</t>
  </si>
  <si>
    <t>Merluza assada</t>
  </si>
  <si>
    <t>Gordura estimada do preparo; não duplicar</t>
  </si>
  <si>
    <t>Laranja pera</t>
  </si>
  <si>
    <t>Resumo diário e metas preservadas</t>
  </si>
  <si>
    <t>Jantar</t>
  </si>
  <si>
    <t>Registro alimentar completo</t>
  </si>
  <si>
    <t>Meta versão</t>
  </si>
  <si>
    <t>Meta kcal</t>
  </si>
  <si>
    <t>Meta proteína</t>
  </si>
  <si>
    <t>Meta gordura</t>
  </si>
  <si>
    <t>Meta carbo</t>
  </si>
  <si>
    <t>Treinos meta</t>
  </si>
  <si>
    <t>P mín</t>
  </si>
  <si>
    <t>P máx</t>
  </si>
  <si>
    <t>Tol kcal</t>
  </si>
  <si>
    <t>Tol gordura</t>
  </si>
  <si>
    <t>Treinos</t>
  </si>
  <si>
    <t>Média peso 7d</t>
  </si>
  <si>
    <t>Aderência kcal</t>
  </si>
  <si>
    <t>Clara de ovo cozida</t>
  </si>
  <si>
    <t>Aderência gordura</t>
  </si>
  <si>
    <t>Dias peso 7d</t>
  </si>
  <si>
    <t>Carboidrato</t>
  </si>
  <si>
    <t>Batata inglesa cozida</t>
  </si>
  <si>
    <t>Lanche</t>
  </si>
  <si>
    <t>Batata doce cozida</t>
  </si>
  <si>
    <t>10 g de pó na proposta atual; conferir rótulo.</t>
  </si>
  <si>
    <t>Aveia em flocos</t>
  </si>
  <si>
    <t>Ceia</t>
  </si>
  <si>
    <t>Pode deslocar para antes do Muay Thai</t>
  </si>
  <si>
    <t>Total da proposta</t>
  </si>
  <si>
    <t>Feijão preto cozido</t>
  </si>
  <si>
    <t>Lentilha cozida</t>
  </si>
  <si>
    <t>Carne bovina patinho grelhado</t>
  </si>
  <si>
    <t>Patinho moído ou bife magro; pesar pronto sem óleo.</t>
  </si>
  <si>
    <t>Filé de tilápia grelhado</t>
  </si>
  <si>
    <t>Pesar pronto sem óleo.</t>
  </si>
  <si>
    <t>Atum ralado em conserva em água</t>
  </si>
  <si>
    <t>Pesar bem escorrido.</t>
  </si>
  <si>
    <t>Mandioca cozida</t>
  </si>
  <si>
    <t>Aipim/macaxeira cozida sem óleo.</t>
  </si>
  <si>
    <t>Macarrão de sêmola cozido</t>
  </si>
  <si>
    <t>Pesar cozido; molho contabilizado à parte.</t>
  </si>
  <si>
    <t>Cuscuz de milho cozido</t>
  </si>
  <si>
    <t>Pesar cozido; manteiga contabilizada à parte.</t>
  </si>
  <si>
    <t>Gordura</t>
  </si>
  <si>
    <t>Pasta de amendoim integral</t>
  </si>
  <si>
    <t>Atenção: adiciona 5 g de proteína e 4 g de carbo.</t>
  </si>
  <si>
    <t>Castanha-do-pará</t>
  </si>
  <si>
    <t>Aproximadamente 3 unidades médias.</t>
  </si>
  <si>
    <t>Evolução semanal</t>
  </si>
  <si>
    <t>Início</t>
  </si>
  <si>
    <t>Fim</t>
  </si>
  <si>
    <t>Pesagens</t>
  </si>
  <si>
    <t>Peso médio</t>
  </si>
  <si>
    <t>Variação kg</t>
  </si>
  <si>
    <t>Cintura</t>
  </si>
  <si>
    <t>kcal média</t>
  </si>
  <si>
    <t>Proteína média</t>
  </si>
  <si>
    <t>Gordura média</t>
  </si>
  <si>
    <t>Dias completos</t>
  </si>
  <si>
    <t>Meta treinos</t>
  </si>
  <si>
    <t>Sono médio</t>
  </si>
  <si>
    <t>Situação</t>
  </si>
  <si>
    <t>Dias com registro</t>
  </si>
  <si>
    <t>Medidas e fotos padronizadas</t>
  </si>
  <si>
    <t>Cintura semanal. Outras medidas e fotos a cada 4 semanas. Mesma luz, distância e postura relaxada; fotos não medem BF com precisão.</t>
  </si>
  <si>
    <t>Cintura umbigo cm</t>
  </si>
  <si>
    <t>Quadril cm</t>
  </si>
  <si>
    <t>Peito cm</t>
  </si>
  <si>
    <t>Braço direito cm</t>
  </si>
  <si>
    <t>Coxa direita cm</t>
  </si>
  <si>
    <t>Frente: link</t>
  </si>
  <si>
    <t>Lado: link</t>
  </si>
  <si>
    <t>Costas: link</t>
  </si>
  <si>
    <t>Condições / observações</t>
  </si>
  <si>
    <t>Decisões e adaptação</t>
  </si>
  <si>
    <t>Registrar mudanças antes de atualizar a ficha ou metas. A planilha não aumenta carga ou muda calorias automaticamente.</t>
  </si>
  <si>
    <t>Área</t>
  </si>
  <si>
    <t>Observação / motivo</t>
  </si>
  <si>
    <t>Alteração proposta</t>
  </si>
  <si>
    <t>Próxima revisão</t>
  </si>
  <si>
    <t>Resultado após mudança</t>
  </si>
  <si>
    <t>Ficha inicial</t>
  </si>
  <si>
    <t>Ficha do chat: Upper 20, Lower 16 e Full Body 19 séries após adaptação. Revisar tolerância junto ao Muay Thai.</t>
  </si>
  <si>
    <t>Adaptação separada em coluna própria. Não avançar automaticamente para o volume posterior.</t>
  </si>
  <si>
    <t>A revisar</t>
  </si>
  <si>
    <t>Dieta inicial</t>
  </si>
  <si>
    <t>Soma das porções originais com whey e leite podia exceder a faixa proteica.</t>
  </si>
  <si>
    <t>Proposta atual: frango 100 g nas refeições, whey 10 g no lanche e arroz 200 g; conferir consumo real.</t>
  </si>
  <si>
    <t>Sistema 3.0</t>
  </si>
  <si>
    <t>Ambiguidade de séries, unidades e completude</t>
  </si>
  <si>
    <t>Work sets separadas; ficha F002; unidade explícita; correção/desfazer; favoritas pessoais</t>
  </si>
  <si>
    <t>Luan / atualização autorizada</t>
  </si>
  <si>
    <t>Aplicado</t>
  </si>
  <si>
    <t>Alimentação</t>
  </si>
  <si>
    <t>Favoritas pré-configuradas não eram individuais</t>
  </si>
  <si>
    <t>Favoritas e ingredientes iniciam vazios; históricos alimentares preservados vazios</t>
  </si>
  <si>
    <t>28/09/2026</t>
  </si>
  <si>
    <t>Automação 3.0</t>
  </si>
  <si>
    <t>Parcial e retomada; conclusão explícita; sequência contínua; unidades obrigatórias; correção e desfazer; alimentos sem cálculo; Ação rápida no celular.</t>
  </si>
  <si>
    <t>Testes de fluxo aprovados nos dois projetos; registros temporários removidos.</t>
  </si>
  <si>
    <t>Base de alimentos e macros</t>
  </si>
  <si>
    <t>B e C definem a unidade e a porção-base dos nutrientes. M/N: medida caseira opcional. O: qualidade da referência. Não converter ml em g sem densidade.</t>
  </si>
  <si>
    <t>Alimento único</t>
  </si>
  <si>
    <t>Unidade-base</t>
  </si>
  <si>
    <t>Referência</t>
  </si>
  <si>
    <t>Como medir</t>
  </si>
  <si>
    <t>Link da fonte</t>
  </si>
  <si>
    <t>Cadastro válido</t>
  </si>
  <si>
    <t>Medida caseira</t>
  </si>
  <si>
    <t>Base por medida</t>
  </si>
  <si>
    <t>Qualidade da referência</t>
  </si>
  <si>
    <t>TACO 4ª ed.; pelo nome</t>
  </si>
  <si>
    <t>50 g sem casca por ovo, estimativa</t>
  </si>
  <si>
    <t>https://nepa.unicamp.br/wp-content/uploads/sites/27/2023/10/taco_4_edicao_ampliada_e_revisada.pdf</t>
  </si>
  <si>
    <t>un</t>
  </si>
  <si>
    <t>Referência cadastrada — não auditada nesta revisão</t>
  </si>
  <si>
    <t>Pesar pronto; óleo separado</t>
  </si>
  <si>
    <t>Caldo e grãos conforme preparo</t>
  </si>
  <si>
    <t>Fatia de 25 g é aproximação; conferir marca</t>
  </si>
  <si>
    <t>fatia</t>
  </si>
  <si>
    <t>Como usar e referências</t>
  </si>
  <si>
    <t>Versão 3.0 — Google Sheets. Registro pessoal, estimativas explícitas e foco nas séries de trabalho.</t>
  </si>
  <si>
    <t>Tema</t>
  </si>
  <si>
    <t>Orientação prática</t>
  </si>
  <si>
    <t>Fonte / localização</t>
  </si>
  <si>
    <t>Uso diário</t>
  </si>
  <si>
    <t>Abra Hoje, confira a data e use o menu Projeto. Campos não informados podem ficar vazios.</t>
  </si>
  <si>
    <t>Salvar indicadores preserva zero e não preenche ausências.</t>
  </si>
  <si>
    <t>Favoritas pessoais</t>
  </si>
  <si>
    <t>Começam vazias. Registre uma refeição sua e use Projeto → Alimentação → Criar favorita com a refeição de hoje.</t>
  </si>
  <si>
    <t>O cadastro de favorita não lança consumo.</t>
  </si>
  <si>
    <t>Copiar alimentação</t>
  </si>
  <si>
    <t>Copie a refeição ou dia que realmente repetiu. Use Alimentação para editar quantidade ou remover item pelo menu.</t>
  </si>
  <si>
    <t>Repetir a mesma cópia é bloqueado; alterações ficam auditadas.</t>
  </si>
  <si>
    <t>Treino</t>
  </si>
  <si>
    <t>Carregue uma sessão, registre somente o que fez e salve parcial ou conclua.</t>
  </si>
  <si>
    <t>Aquecimento + feeder de 6 reps + 2 work sets 6–10, 0–1 RIR.</t>
  </si>
  <si>
    <t>Dia completo</t>
  </si>
  <si>
    <t>Registrou tudo? significa completude do registro, mesmo se comeu fora do plano.</t>
  </si>
  <si>
    <t>Dias parciais e itens sem cálculo não entram como dia alimentar completo calculável.</t>
  </si>
  <si>
    <t>Metas</t>
  </si>
  <si>
    <t>Nova meta cria uma vigência. Valores já salvos no Diário são preservados.</t>
  </si>
  <si>
    <t>As metas já existentes seguem vigentes; campos opcionais de medidas podem ficar vazios.</t>
  </si>
  <si>
    <t>Ficha vigente</t>
  </si>
  <si>
    <t>F002 contém a ficha enviada por Luan em 28/09/2026. F001 foi preservada.</t>
  </si>
  <si>
    <t>Use Salvar nova ficha para alterações futuras.</t>
  </si>
  <si>
    <t>Unidades</t>
  </si>
  <si>
    <t>g, mg e kg convertem entre si; ml e l entre si. un/fatia exigem M/N em Alimentos.</t>
  </si>
  <si>
    <t>Sem casca</t>
  </si>
  <si>
    <t>Nunca interpretar 2 ovos como 2 g. Medida caseira é estimativa.</t>
  </si>
  <si>
    <t>Fotos</t>
  </si>
  <si>
    <t>Anexe links na aba Medidas e fotos conforme sua rotina.</t>
  </si>
  <si>
    <t>Não é uma pendência diária obrigatória.</t>
  </si>
  <si>
    <t>Fora da rotina</t>
  </si>
  <si>
    <t>Descreva em Hoje!B20 e use Sem cálculo na Ação rápida, ou Registrar refeição sem cálculo no menu.</t>
  </si>
  <si>
    <t>Sem quantidade conhecida: macros vazios. Não estimar precisão inexistente.</t>
  </si>
  <si>
    <t>Aderência</t>
  </si>
  <si>
    <t>Avaliação apenas de dias completos com cálculo; cobertura é mostrada junto das médias.</t>
  </si>
  <si>
    <t>Durante o dia o estado é Parcial — em andamento.</t>
  </si>
  <si>
    <t>Retomar</t>
  </si>
  <si>
    <t>Carregar treino recupera a sessão salva na data. Dias sem uso não bloqueiam o dia atual.</t>
  </si>
  <si>
    <t>Zoio: sequência contínua avança só ao concluir sessão.</t>
  </si>
  <si>
    <t>Fontes alimentares</t>
  </si>
  <si>
    <t>Referências existentes foram preservadas; esta revisão verificou estrutura e unidades.</t>
  </si>
  <si>
    <t>Cadastro válido não significa fonte nutricional auditada.</t>
  </si>
  <si>
    <t>Séries de trabalho</t>
  </si>
  <si>
    <t>Volume e progressão usam apenas Work 1 e Work 2. Aquecimento e feeder ficam registrados à parte.</t>
  </si>
  <si>
    <t>RIR individual por work set; cargas anteriores são referência, não preenchimento automático.</t>
  </si>
  <si>
    <t>Correções</t>
  </si>
  <si>
    <t>Selecione uma linha em Alimentação e use Corrigir quantidade da linha selecionada ou Excluir linha selecionada.</t>
  </si>
  <si>
    <t>Desfazer última alteração restaura registros pelo menu Projeto.</t>
  </si>
  <si>
    <t>Rotação</t>
  </si>
  <si>
    <t>Zoio: Push A → Pull A → Legs A → Push B → Pull B → Legs B. Breno: Upper → Lower → Full Body.</t>
  </si>
  <si>
    <t>O agendamento semanal não reinicia a rotação do Zoio.</t>
  </si>
  <si>
    <t>Automação</t>
  </si>
  <si>
    <t>Menu Projeto funciona no Google Sheets pelo Apps Script vinculado.</t>
  </si>
  <si>
    <t>No celular, use a caixa Ação rápida em Hoje; as células são salvas pelo Sheets.</t>
  </si>
  <si>
    <t>Créditos</t>
  </si>
  <si>
    <t>O preenchimento, os cálculos e os comandos desta planilha usam Apps Script, sem chamadas a modelos de IA.</t>
  </si>
  <si>
    <t>O futuro app/bot pode reutilizar as mesmas regras.</t>
  </si>
  <si>
    <t>Peso seco</t>
  </si>
  <si>
    <t>ml</t>
  </si>
  <si>
    <t>Estimativa genérica</t>
  </si>
  <si>
    <t>Substituir pelos valores do rótulo</t>
  </si>
  <si>
    <t>Conferir rótulo / estimativa</t>
  </si>
  <si>
    <t>Estimativa — conferir rótulo</t>
  </si>
  <si>
    <t>30 g de pó. Atualizar ao comprar</t>
  </si>
  <si>
    <t>Contabilizar gordura usada no preparo</t>
  </si>
  <si>
    <t>Exemplo de legume; substituir pelo consumido</t>
  </si>
  <si>
    <t>Parte comestível</t>
  </si>
  <si>
    <t>Metas por vigência</t>
  </si>
  <si>
    <t>Após iniciar registros, use Nova meta na tela Hoje. Metas usadas ficam gravadas no dia.</t>
  </si>
  <si>
    <t>Vigência</t>
  </si>
  <si>
    <t>Sem óleo</t>
  </si>
  <si>
    <t>Treinos semana</t>
  </si>
  <si>
    <t>Proteína mín</t>
  </si>
  <si>
    <t>Proteína máx</t>
  </si>
  <si>
    <t>Tolerância kcal</t>
  </si>
  <si>
    <t>Tolerância gordura</t>
  </si>
  <si>
    <t>Motivo</t>
  </si>
  <si>
    <t>M001</t>
  </si>
  <si>
    <t>Iogurte natural</t>
  </si>
  <si>
    <t>Referência inicial dos chats. Vigência inicial técnica; data do projeto no perfil.</t>
  </si>
  <si>
    <t>Conferir rótulo do produto</t>
  </si>
  <si>
    <t>Cadastro expansível de exercícios</t>
  </si>
  <si>
    <t>Grupo</t>
  </si>
  <si>
    <t>Convenção de carga</t>
  </si>
  <si>
    <t>Carga total ou por halter: escolher e manter sempre o mesmo critério</t>
  </si>
  <si>
    <t>Remada articulada</t>
  </si>
  <si>
    <t>Supino reto máquina</t>
  </si>
  <si>
    <t>Pesar porção</t>
  </si>
  <si>
    <t>Tríceps corda</t>
  </si>
  <si>
    <t>Hack / agachamento orientado</t>
  </si>
  <si>
    <t>Sem gema</t>
  </si>
  <si>
    <t>Panturrilha</t>
  </si>
  <si>
    <t>Supino inclinado halteres</t>
  </si>
  <si>
    <t>Puxada neutra</t>
  </si>
  <si>
    <t>Pesar pronta</t>
  </si>
  <si>
    <t>Flexora sentada</t>
  </si>
  <si>
    <t>Cadeira extensora</t>
  </si>
  <si>
    <t>Agachamento búlgaro</t>
  </si>
  <si>
    <t>Supino reto com halteres</t>
  </si>
  <si>
    <t>Remada baixa na polia</t>
  </si>
  <si>
    <t>Face pull</t>
  </si>
  <si>
    <t>Tríceps francês</t>
  </si>
  <si>
    <t>Tríceps barra na polia</t>
  </si>
  <si>
    <t>Rosca direta na polia</t>
  </si>
  <si>
    <t>Panturrilha sentada</t>
  </si>
  <si>
    <t>Abdominal máquina</t>
  </si>
  <si>
    <t>Açúcar cristal</t>
  </si>
  <si>
    <t>Levantamento romeno halteres</t>
  </si>
  <si>
    <t>kg indicados na máquina ou carga total da barra; manter equipamento e critério</t>
  </si>
  <si>
    <t>Registrar também no café</t>
  </si>
  <si>
    <t>kg por halter; manter o mesmo critério</t>
  </si>
  <si>
    <t>Variedade e preparo podem mudar valores</t>
  </si>
  <si>
    <t>Fichas preservadas por versão</t>
  </si>
  <si>
    <t>Estimativa; conferir rótulo</t>
  </si>
  <si>
    <t>Edite a proposta em Ficha de treino. Salvar nova ficha arquiva outra versão sem apagar esta.</t>
  </si>
  <si>
    <t>Peso usado no preparo</t>
  </si>
  <si>
    <t>Conferir rótulo</t>
  </si>
  <si>
    <t>Milho de pipoca cru</t>
  </si>
  <si>
    <t>RIR work adaptação</t>
  </si>
  <si>
    <t>RIR work regular</t>
  </si>
  <si>
    <t>Revisão</t>
  </si>
  <si>
    <t>F001</t>
  </si>
  <si>
    <t>Pesar antes de estourar; óleo separado</t>
  </si>
  <si>
    <t>Primeiras 2 semanas: 2 séries. Coluna de 3 séries depende da recuperação.</t>
  </si>
  <si>
    <t>Pesar pronto; sem óleo</t>
  </si>
  <si>
    <t>Tabela TACO Unicamp</t>
  </si>
  <si>
    <t>Carne bovina miolo de alcatra grelhado</t>
  </si>
  <si>
    <t>Remada baixa</t>
  </si>
  <si>
    <t>Carne bovina contrafilé grelhado</t>
  </si>
  <si>
    <t>Supino com halteres</t>
  </si>
  <si>
    <t>Pesar pronto; sem gordura aparente</t>
  </si>
  <si>
    <t>Elevação lateral na polia</t>
  </si>
  <si>
    <t>Carne bovina filé mignon grelhado</t>
  </si>
  <si>
    <t>Peck deck inverso</t>
  </si>
  <si>
    <t>Carne bovina músculo cozido</t>
  </si>
  <si>
    <t>Carne bovina coxão mole cozido</t>
  </si>
  <si>
    <t>Refeições prontas para lançar</t>
  </si>
  <si>
    <t>Frango peito grelhado</t>
  </si>
  <si>
    <t>Cadastro pessoal vazio. Use Projeto → Favoritar refeição da data após registrar uma refeição sua.</t>
  </si>
  <si>
    <t>Frango sobrecoxa sem pele cozida</t>
  </si>
  <si>
    <t>Pesar pronta sem osso e sem pele</t>
  </si>
  <si>
    <t>Frango coxa sem pele cozida</t>
  </si>
  <si>
    <t>Hack</t>
  </si>
  <si>
    <t>Frango coração cozido</t>
  </si>
  <si>
    <t>Lombo suíno assado</t>
  </si>
  <si>
    <t>Ingredientes das favoritas</t>
  </si>
  <si>
    <t>Ingredientes das suas favoritas. Quantidade sempre na unidade-base do alimento.</t>
  </si>
  <si>
    <t>Salmão sem pele grelhado</t>
  </si>
  <si>
    <t>Pesar pronto sem pele</t>
  </si>
  <si>
    <t>Atum sólido em conserva em óleo</t>
  </si>
  <si>
    <t>Rosca na polia</t>
  </si>
  <si>
    <t>Pesar escorrido</t>
  </si>
  <si>
    <t>F002</t>
  </si>
  <si>
    <t>Sardinha em conserva com óleo</t>
  </si>
  <si>
    <t>Pesar escorrida</t>
  </si>
  <si>
    <t>Camarão cozido</t>
  </si>
  <si>
    <t>Pesar limpo cozido</t>
  </si>
  <si>
    <t>Leite desnatado</t>
  </si>
  <si>
    <t>Medir em ml; massa em g exige densidade específica.</t>
  </si>
  <si>
    <t>Leite semidesnatado</t>
  </si>
  <si>
    <t>Queijo cottage</t>
  </si>
  <si>
    <t>Queijo ricota</t>
  </si>
  <si>
    <t>Queijo muçarela</t>
  </si>
  <si>
    <t>Pesar fatias</t>
  </si>
  <si>
    <t>Queijo prato</t>
  </si>
  <si>
    <t>Queijo parmesão ralado</t>
  </si>
  <si>
    <t>Requeijão cremoso tradicional</t>
  </si>
  <si>
    <t>Pesar colher</t>
  </si>
  <si>
    <t>Iogurte natural desnatado</t>
  </si>
  <si>
    <t>Iogurte grego tradicional</t>
  </si>
  <si>
    <t>Pesar pote ou porção</t>
  </si>
  <si>
    <t>Arroz integral cozido</t>
  </si>
  <si>
    <t>Pesar cozida sem óleo</t>
  </si>
  <si>
    <t>Mandioquinha cozida</t>
  </si>
  <si>
    <t>Pesar cozido; molho à parte</t>
  </si>
  <si>
    <t>Macarrão integral cozido</t>
  </si>
  <si>
    <t>Pão francês</t>
  </si>
  <si>
    <t>1 unidade média tem cerca de 50 g</t>
  </si>
  <si>
    <t>Pão de forma tradicional</t>
  </si>
  <si>
    <t>Fatia cerca de 25 g</t>
  </si>
  <si>
    <t>Goma de tapioca hidratada</t>
  </si>
  <si>
    <t>Pesar a massa crua antes de assar</t>
  </si>
  <si>
    <t>Pesar pronto; manteiga à parte</t>
  </si>
  <si>
    <t>Milho verde cozido</t>
  </si>
  <si>
    <t>Pesar grãos debulhados</t>
  </si>
  <si>
    <t>Grão-de-bico cozido</t>
  </si>
  <si>
    <t>Pesar grãos cozidos escorridos</t>
  </si>
  <si>
    <t>Ervilha fresca cozida</t>
  </si>
  <si>
    <t>Pesar cozida escorrida</t>
  </si>
  <si>
    <t>Soja cozida</t>
  </si>
  <si>
    <t>Pesar grãos cozidos</t>
  </si>
  <si>
    <t>Maçã fuji com casca</t>
  </si>
  <si>
    <t>Banana prata</t>
  </si>
  <si>
    <t>Abacaxi pérola</t>
  </si>
  <si>
    <t>Parte comestível picada</t>
  </si>
  <si>
    <t>Melancia</t>
  </si>
  <si>
    <t>Mamão papaia</t>
  </si>
  <si>
    <t>Sem casca e sem sementes</t>
  </si>
  <si>
    <t>Mamão formosa</t>
  </si>
  <si>
    <t>Morango in natura</t>
  </si>
  <si>
    <t>Sem folhas; in natura</t>
  </si>
  <si>
    <t>Uva itália</t>
  </si>
  <si>
    <t>Manga tommy atkins</t>
  </si>
  <si>
    <t>Sem casca e sem caroço</t>
  </si>
  <si>
    <t>Manga palmer</t>
  </si>
  <si>
    <t>Abacate</t>
  </si>
  <si>
    <t>Melão espanhol</t>
  </si>
  <si>
    <t>Pera williams</t>
  </si>
  <si>
    <t>Com casca</t>
  </si>
  <si>
    <t>Kiwi</t>
  </si>
  <si>
    <t>Goiaba vermelha com casca</t>
  </si>
  <si>
    <t>Parte comestível inteira</t>
  </si>
  <si>
    <t>Uva passa</t>
  </si>
  <si>
    <t>Pesar porção seca</t>
  </si>
  <si>
    <t>Brócolis cozido</t>
  </si>
  <si>
    <t>Cozido em água sem óleo</t>
  </si>
  <si>
    <t>Couve-flor cozida</t>
  </si>
  <si>
    <t>Cozida em água sem óleo</t>
  </si>
  <si>
    <t>Tomate salada cru</t>
  </si>
  <si>
    <t>Com pele e sementes</t>
  </si>
  <si>
    <t>Abobrinha italiana cozida</t>
  </si>
  <si>
    <t>Chuchu cozido</t>
  </si>
  <si>
    <t>Cozido sem óleo</t>
  </si>
  <si>
    <t>Beterraba cozida</t>
  </si>
  <si>
    <t>Cozida sem óleo</t>
  </si>
  <si>
    <t>Espinafre cozido</t>
  </si>
  <si>
    <t>Escorrido sem óleo</t>
  </si>
  <si>
    <t>Pepino com casca</t>
  </si>
  <si>
    <t>Cru fatiado</t>
  </si>
  <si>
    <t>Couve manteiga refogada</t>
  </si>
  <si>
    <t>Contabiliza óleo do refogado</t>
  </si>
  <si>
    <t>Rúcula crua</t>
  </si>
  <si>
    <t>Folhas cruas limpas</t>
  </si>
  <si>
    <t>Repolho branco cru</t>
  </si>
  <si>
    <t>Cru picado</t>
  </si>
  <si>
    <t>Pimentão vermelho cru</t>
  </si>
  <si>
    <t>Sem sementes</t>
  </si>
  <si>
    <t>100% amendoim puro</t>
  </si>
  <si>
    <t>Amendoim torrado sem sal</t>
  </si>
  <si>
    <t>Grãos sem casca</t>
  </si>
  <si>
    <t>Castanha-de-caju torrada</t>
  </si>
  <si>
    <t>Sem sal</t>
  </si>
  <si>
    <t>Crua; cerca de 4 a 5 g por unidade</t>
  </si>
  <si>
    <t>Nozes cruas</t>
  </si>
  <si>
    <t>Manteiga sem sal</t>
  </si>
  <si>
    <t>Pesar porção ou colher</t>
  </si>
  <si>
    <t>Óleo de soja</t>
  </si>
  <si>
    <t>Pesar óleo de cozimento</t>
  </si>
  <si>
    <t>Óleo de coco</t>
  </si>
  <si>
    <t>Semente de chia</t>
  </si>
  <si>
    <t>Pesar sementes secas</t>
  </si>
  <si>
    <t>Semente de linhaça dourada</t>
  </si>
  <si>
    <t>Whey Protein Concentrado 80%</t>
  </si>
  <si>
    <t>Pó puro; 30 g tem aprox. 24 g prot</t>
  </si>
  <si>
    <t>Whey Protein Isolado 90%</t>
  </si>
  <si>
    <t>Pó puro; 30 g tem aprox. 27 g prot</t>
  </si>
  <si>
    <t>Albumina em pó</t>
  </si>
  <si>
    <t>Pó puro</t>
  </si>
  <si>
    <t>Creatina monohidratada</t>
  </si>
  <si>
    <t>Pó; dosagem comum 3 a 5 g/dia</t>
  </si>
  <si>
    <t>Maltodextrina</t>
  </si>
  <si>
    <t>Pó; carboidrato puro</t>
  </si>
  <si>
    <t>Mel de abelha</t>
  </si>
  <si>
    <t>Líquido/pastoso; 1 colher sopa aprox 15-20g</t>
  </si>
  <si>
    <t>Doce de leite tradicional</t>
  </si>
  <si>
    <t>Quebrar cru na balança (sem casca); ~50 g por ovo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</si>
</sst>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d/MM/yyyy"/>
  </numFmts>
  <fonts count="13">
    <font>
      <sz val="11.0"/>
      <color rgb="FF000000"/>
      <name val="Carlito"/>
      <scheme val="minor"/>
    </font>
    <font>
      <sz val="10.0"/>
      <color rgb="FF172033"/>
      <name val="Arial"/>
    </font>
    <font>
      <b/>
      <sz val="16.0"/>
      <color rgb="FF4C356B"/>
      <name val="Arial"/>
    </font>
    <font>
      <i/>
      <sz val="10.0"/>
      <color rgb="FF526174"/>
      <name val="Arial"/>
    </font>
    <font>
      <b/>
      <sz val="10.0"/>
      <color rgb="FFFFFFFF"/>
      <name val="Arial"/>
    </font>
    <font>
      <sz val="10.0"/>
      <color rgb="FF1D4ED8"/>
      <name val="Arial"/>
    </font>
    <font>
      <color theme="1"/>
      <name val="Carlito"/>
      <scheme val="minor"/>
    </font>
    <font/>
    <font>
      <sz val="10.0"/>
      <color rgb="FFFFFFFF"/>
      <name val="Arial"/>
    </font>
    <font>
      <b/>
      <color theme="1"/>
      <name val="Carlito"/>
      <scheme val="minor"/>
    </font>
    <font>
      <b/>
      <sz val="10.0"/>
      <color theme="1"/>
      <name val="Arial"/>
    </font>
    <font>
      <sz val="11.0"/>
      <color theme="1"/>
      <name val="Carlito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C356B"/>
        <bgColor rgb="FF4C356B"/>
      </patternFill>
    </fill>
    <fill>
      <patternFill patternType="solid">
        <fgColor rgb="FFFFF4D6"/>
        <bgColor rgb="FFFFF4D6"/>
      </patternFill>
    </fill>
    <fill>
      <patternFill patternType="solid">
        <fgColor rgb="FFFFF4D1"/>
        <bgColor rgb="FFFFF4D1"/>
      </patternFill>
    </fill>
    <fill>
      <patternFill patternType="solid">
        <fgColor rgb="FFE8F2EC"/>
        <bgColor rgb="FFE8F2EC"/>
      </patternFill>
    </fill>
    <fill>
      <patternFill patternType="solid">
        <fgColor rgb="FFEDF2F7"/>
        <bgColor rgb="FFEDF2F7"/>
      </patternFill>
    </fill>
    <fill>
      <patternFill patternType="solid">
        <fgColor rgb="FFDBF2E0"/>
        <bgColor rgb="FFDBF2E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Border="1" applyFill="1" applyFont="1"/>
    <xf borderId="0" fillId="4" fontId="6" numFmtId="164" xfId="0" applyFill="1" applyFont="1" applyNumberFormat="1"/>
    <xf borderId="1" fillId="3" fontId="5" numFmtId="0" xfId="0" applyAlignment="1" applyBorder="1" applyFill="1" applyFont="1">
      <alignment horizontal="right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vertical="center"/>
    </xf>
    <xf borderId="3" fillId="0" fontId="7" numFmtId="0" xfId="0" applyBorder="1" applyFont="1"/>
    <xf borderId="4" fillId="0" fontId="7" numFmtId="0" xfId="0" applyBorder="1" applyFont="1"/>
    <xf borderId="1" fillId="3" fontId="5" numFmtId="0" xfId="0" applyAlignment="1" applyBorder="1" applyFill="1" applyFont="1">
      <alignment horizontal="right" readingOrder="0" vertical="center"/>
    </xf>
    <xf borderId="0" fillId="0" fontId="1" numFmtId="0" xfId="0" applyAlignment="1" applyFont="1">
      <alignment horizontal="right" readingOrder="0" vertical="center"/>
    </xf>
    <xf borderId="1" fillId="3" fontId="5" numFmtId="0" xfId="0" applyBorder="1" applyFill="1" applyFont="1"/>
    <xf borderId="1" fillId="3" fontId="5" numFmtId="2" xfId="0" applyAlignment="1" applyBorder="1" applyFill="1" applyFont="1" applyNumberFormat="1">
      <alignment horizontal="right" vertical="center"/>
    </xf>
    <xf borderId="1" fillId="3" fontId="5" numFmtId="14" xfId="0" applyAlignment="1" applyBorder="1" applyFill="1" applyFont="1" applyNumberFormat="1">
      <alignment horizontal="right" readingOrder="0" vertical="center"/>
    </xf>
    <xf borderId="1" fillId="2" fontId="4" numFmtId="0" xfId="0" applyAlignment="1" applyBorder="1" applyFill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3" fontId="5" numFmtId="0" xfId="0" applyAlignment="1" applyBorder="1" applyFill="1" applyFont="1">
      <alignment readingOrder="0"/>
    </xf>
    <xf borderId="1" fillId="5" fontId="5" numFmtId="165" xfId="0" applyAlignment="1" applyBorder="1" applyFill="1" applyFont="1" applyNumberFormat="1">
      <alignment horizontal="right" vertical="center"/>
    </xf>
    <xf borderId="1" fillId="3" fontId="5" numFmtId="14" xfId="0" applyAlignment="1" applyBorder="1" applyFill="1" applyFont="1" applyNumberFormat="1">
      <alignment horizontal="right" vertical="center"/>
    </xf>
    <xf borderId="2" fillId="3" fontId="5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horizontal="right" readingOrder="0" vertical="center"/>
    </xf>
    <xf borderId="1" fillId="3" fontId="5" numFmtId="0" xfId="0" applyAlignment="1" applyBorder="1" applyFill="1" applyFont="1">
      <alignment readingOrder="0"/>
    </xf>
    <xf borderId="2" fillId="3" fontId="5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vertical="center"/>
    </xf>
    <xf borderId="0" fillId="0" fontId="1" numFmtId="165" xfId="0" applyAlignment="1" applyFont="1" applyNumberFormat="1">
      <alignment vertical="center"/>
    </xf>
    <xf borderId="1" fillId="3" fontId="5" numFmtId="14" xfId="0" applyBorder="1" applyFill="1" applyFont="1" applyNumberFormat="1"/>
    <xf borderId="0" fillId="0" fontId="8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9" numFmtId="0" xfId="0" applyAlignment="1" applyFont="1">
      <alignment shrinkToFit="0" vertical="center" wrapText="1"/>
    </xf>
    <xf borderId="0" fillId="6" fontId="6" numFmtId="0" xfId="0" applyAlignment="1" applyFill="1" applyFont="1">
      <alignment shrinkToFit="0" wrapText="1"/>
    </xf>
    <xf borderId="0" fillId="7" fontId="6" numFmtId="0" xfId="0" applyAlignment="1" applyFill="1" applyFont="1">
      <alignment shrinkToFit="0" wrapText="1"/>
    </xf>
    <xf borderId="0" fillId="0" fontId="6" numFmtId="0" xfId="0" applyAlignment="1" applyFont="1">
      <alignment shrinkToFit="0" wrapText="1"/>
    </xf>
    <xf borderId="0" fillId="0" fontId="2" numFmtId="0" xfId="0" applyFont="1"/>
    <xf borderId="0" fillId="0" fontId="1" numFmtId="14" xfId="0" applyFont="1" applyNumberFormat="1"/>
    <xf borderId="0" fillId="0" fontId="1" numFmtId="165" xfId="0" applyFont="1" applyNumberFormat="1"/>
    <xf borderId="0" fillId="0" fontId="1" numFmtId="0" xfId="0" applyAlignment="1" applyFont="1">
      <alignment shrinkToFit="0" wrapText="1"/>
    </xf>
    <xf borderId="0" fillId="0" fontId="1" numFmtId="9" xfId="0" applyFont="1" applyNumberFormat="1"/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" fillId="3" fontId="5" numFmtId="166" xfId="0" applyAlignment="1" applyBorder="1" applyFill="1" applyFont="1" applyNumberForma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center" wrapText="0"/>
    </xf>
    <xf borderId="1" fillId="3" fontId="5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wrapText="1"/>
    </xf>
    <xf borderId="1" fillId="3" fontId="5" numFmtId="0" xfId="0" applyAlignment="1" applyBorder="1" applyFill="1" applyFont="1">
      <alignment vertical="center"/>
    </xf>
    <xf borderId="1" fillId="3" fontId="5" numFmtId="0" xfId="0" applyAlignment="1" applyBorder="1" applyFill="1" applyFont="1">
      <alignment readingOrder="0" vertical="center"/>
    </xf>
    <xf borderId="1" fillId="3" fontId="5" numFmtId="165" xfId="0" applyAlignment="1" applyBorder="1" applyFill="1" applyFont="1" applyNumberFormat="1">
      <alignment readingOrder="0" vertical="center"/>
    </xf>
    <xf borderId="0" fillId="0" fontId="1" numFmtId="165" xfId="0" applyAlignment="1" applyFont="1" applyNumberFormat="1">
      <alignment readingOrder="0" vertical="center"/>
    </xf>
    <xf borderId="1" fillId="3" fontId="5" numFmtId="165" xfId="0" applyAlignment="1" applyBorder="1" applyFill="1" applyFont="1" applyNumberFormat="1">
      <alignment vertical="center"/>
    </xf>
    <xf borderId="1" fillId="3" fontId="5" numFmtId="165" xfId="0" applyAlignment="1" applyBorder="1" applyFill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Font="1"/>
    <xf borderId="0" fillId="0" fontId="10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3" fontId="5" numFmtId="0" xfId="0" applyAlignment="1" applyBorder="1" applyFill="1" applyFont="1">
      <alignment readingOrder="0" vertical="center"/>
    </xf>
    <xf borderId="1" fillId="5" fontId="1" numFmtId="165" xfId="0" applyAlignment="1" applyBorder="1" applyFill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14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1" fillId="3" fontId="5" numFmtId="14" xfId="0" applyAlignment="1" applyBorder="1" applyFill="1" applyFont="1" applyNumberFormat="1">
      <alignment shrinkToFit="0" vertical="center" wrapText="0"/>
    </xf>
    <xf borderId="1" fillId="3" fontId="5" numFmtId="14" xfId="0" applyAlignment="1" applyBorder="1" applyFill="1" applyFont="1" applyNumberFormat="1">
      <alignment readingOrder="0" shrinkToFit="0" vertical="center" wrapText="0"/>
    </xf>
    <xf quotePrefix="1" borderId="1" fillId="3" fontId="5" numFmtId="14" xfId="0" applyAlignment="1" applyBorder="1" applyFill="1" applyFont="1" applyNumberForma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1" fillId="3" fontId="5" numFmtId="165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3" fontId="5" numFmtId="9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center" wrapText="0"/>
    </xf>
    <xf borderId="1" fillId="3" fontId="5" numFmtId="165" xfId="0" applyAlignment="1" applyBorder="1" applyFill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3" fontId="5" numFmtId="0" xfId="0" applyAlignment="1" applyFill="1" applyFont="1">
      <alignment readingOrder="0" shrinkToFit="0" vertical="center" wrapText="0"/>
    </xf>
    <xf borderId="0" fillId="3" fontId="5" numFmtId="165" xfId="0" applyAlignment="1" applyFill="1" applyFont="1" applyNumberFormat="1">
      <alignment readingOrder="0"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</dxfs>
  <tableStyles count="13">
    <tableStyle count="4" pivot="0" name="Ficha de trei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o de trei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mentaç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á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n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didas e fo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s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órico de me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rcíc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órico de fich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vor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gredi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Peso diário e média móvel de 7 dias</a:t>
            </a:r>
          </a:p>
        </c:rich>
      </c:tx>
      <c:overlay val="0"/>
    </c:title>
    <c:plotArea>
      <c:layout/>
      <c:lineChart>
        <c:axId val="808673711"/>
        <c:axId val="1770633257"/>
      </c:lineChart>
      <c:catAx>
        <c:axId val="80867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633257"/>
      </c:catAx>
      <c:valAx>
        <c:axId val="177063325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086737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Proteína média nas semanas registradas</a:t>
            </a:r>
          </a:p>
        </c:rich>
      </c:tx>
      <c:overlay val="0"/>
    </c:title>
    <c:plotArea>
      <c:layout/>
      <c:lineChart>
        <c:varyColors val="0"/>
        <c:axId val="173672862"/>
        <c:axId val="84996337"/>
      </c:lineChart>
      <c:catAx>
        <c:axId val="173672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96337"/>
      </c:catAx>
      <c:valAx>
        <c:axId val="8499633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367286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9753600" cy="5429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24</xdr:row>
      <xdr:rowOff>0</xdr:rowOff>
    </xdr:from>
    <xdr:ext cx="9753600" cy="4572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M27" displayName="PropostaFicha" name="PropostaFicha" id="1">
  <tableColumns count="13">
    <tableColumn name="Sessão" id="1"/>
    <tableColumn name="Exercício" id="2"/>
    <tableColumn name="Grupo principal" id="3"/>
    <tableColumn name="Work sets adaptação" id="4"/>
    <tableColumn name="Work sets regular" id="5"/>
    <tableColumn name="Reps work mín." id="6"/>
    <tableColumn name="Reps work máx." id="7"/>
    <tableColumn name="RIR work adaptação máx." id="8"/>
    <tableColumn name="RIR work regular máx." id="9"/>
    <tableColumn name="Descanso s" id="10"/>
    <tableColumn name="Alternativa" id="11"/>
    <tableColumn name="Status do plano" id="12"/>
    <tableColumn name="Tipos de série" id="13"/>
  </tableColumns>
  <tableStyleInfo name="Ficha de treino-style" showColumnStripes="0" showFirstColumn="1" showLastColumn="1" showRowStripes="1"/>
</table>
</file>

<file path=xl/tables/table2.xml><?xml version="1.0" encoding="utf-8"?>
<table xmlns="http://schemas.openxmlformats.org/spreadsheetml/2006/main" ref="A5:Z1000" displayName="RegistroTreino" name="RegistroTreino" id="2">
  <tableColumns count="26">
    <tableColumn name="Data" id="1"/>
    <tableColumn name="Sessão" id="2"/>
    <tableColumn name="Exercício" id="3"/>
    <tableColumn name="Equipamento / carga" id="4"/>
    <tableColumn name="Aquecimento kg" id="5"/>
    <tableColumn name="Aquecimento reps" id="6"/>
    <tableColumn name="Feeder kg" id="7"/>
    <tableColumn name="Feeder reps" id="8"/>
    <tableColumn name="Work 1 kg" id="9"/>
    <tableColumn name="Work 1 reps" id="10"/>
    <tableColumn name="Work 2 kg" id="11"/>
    <tableColumn name="Work 2 reps" id="12"/>
    <tableColumn name="Work sets realizadas" id="13"/>
    <tableColumn name="Volume work kg×reps" id="14"/>
    <tableColumn name="RIR work 2" id="15"/>
    <tableColumn name="Dor 0–10" id="16"/>
    <tableColumn name="Observação" id="17"/>
    <tableColumn name="Ficha" id="18"/>
    <tableColumn name="Work sets prescritas" id="19"/>
    <tableColumn name="Reps work mín" id="20"/>
    <tableColumn name="Reps work máx" id="21"/>
    <tableColumn name="Fase" id="22"/>
    <tableColumn name="ID sessão" id="23"/>
    <tableColumn name="RIR work 1" id="24"/>
    <tableColumn name="Estado sessão" id="25"/>
    <tableColumn name="Modelo de séries" id="26"/>
  </tableColumns>
  <tableStyleInfo name="Registro de treino-style" showColumnStripes="0" showFirstColumn="1" showLastColumn="1" showRowStripes="1"/>
</table>
</file>

<file path=xl/tables/table3.xml><?xml version="1.0" encoding="utf-8"?>
<table xmlns="http://schemas.openxmlformats.org/spreadsheetml/2006/main" ref="A5:O1000" displayName="RegistroAlimentar" name="RegistroAlimentar" id="3">
  <tableColumns count="15">
    <tableColumn name="Data" id="1"/>
    <tableColumn name="Refeição" id="2"/>
    <tableColumn name="Alimento" id="3"/>
    <tableColumn name="Quantidade" id="4"/>
    <tableColumn name="Unidade" id="5"/>
    <tableColumn name="kcal" id="6"/>
    <tableColumn name="Proteína g" id="7"/>
    <tableColumn name="Carboidrato g" id="8"/>
    <tableColumn name="Gordura g" id="9"/>
    <tableColumn name="Fibra g" id="10"/>
    <tableColumn name="Medição" id="11"/>
    <tableColumn name="Observação" id="12"/>
    <tableColumn name="Conferência" id="13"/>
    <tableColumn name="ID lançamento" id="14"/>
    <tableColumn name="Favorita / versão" id="15"/>
  </tableColumns>
  <tableStyleInfo name="Alimentação-style" showColumnStripes="0" showFirstColumn="1" showLastColumn="1" showRowStripes="1"/>
</table>
</file>

<file path=xl/tables/table4.xml><?xml version="1.0" encoding="utf-8"?>
<table xmlns="http://schemas.openxmlformats.org/spreadsheetml/2006/main" ref="A5:AG1000" displayName="RotinaDiaria" name="RotinaDiaria" id="4">
  <tableColumns count="33">
    <tableColumn name="Data" id="1"/>
    <tableColumn name="Peso kg" id="2"/>
    <tableColumn name="Sono h" id="3"/>
    <tableColumn name="Passos" id="4"/>
    <tableColumn name="Cardio min" id="5"/>
    <tableColumn name="Muay Thai" id="6"/>
    <tableColumn name="Registro alimentar completo" id="7"/>
    <tableColumn name="Cintura cm" id="8"/>
    <tableColumn name="Fome 1–5" id="9"/>
    <tableColumn name="Cansaço 1–5" id="10"/>
    <tableColumn name="Observações" id="11"/>
    <tableColumn name="Meta versão" id="12"/>
    <tableColumn name="Meta kcal" id="13"/>
    <tableColumn name="Meta proteína" id="14"/>
    <tableColumn name="Meta gordura" id="15"/>
    <tableColumn name="Meta carbo" id="16"/>
    <tableColumn name="Treinos meta" id="17"/>
    <tableColumn name="P mín" id="18"/>
    <tableColumn name="P máx" id="19"/>
    <tableColumn name="Tol kcal" id="20"/>
    <tableColumn name="Tol gordura" id="21"/>
    <tableColumn name="kcal" id="22"/>
    <tableColumn name="Proteína g" id="23"/>
    <tableColumn name="Carboidrato g" id="24"/>
    <tableColumn name="Gordura g" id="25"/>
    <tableColumn name="Fibra g" id="26"/>
    <tableColumn name="Treinos" id="27"/>
    <tableColumn name="Média peso 7d" id="28"/>
    <tableColumn name="Aderência kcal" id="29"/>
    <tableColumn name="Aderência proteína" id="30"/>
    <tableColumn name="Aderência gordura" id="31"/>
    <tableColumn name="Dias peso 7d" id="32"/>
    <tableColumn name="Itens sem cálculo" id="33"/>
  </tableColumns>
  <tableStyleInfo name="Diário-style" showColumnStripes="0" showFirstColumn="1" showLastColumn="1" showRowStripes="1"/>
</table>
</file>

<file path=xl/tables/table5.xml><?xml version="1.0" encoding="utf-8"?>
<table xmlns="http://schemas.openxmlformats.org/spreadsheetml/2006/main" ref="A5:V1000" displayName="ResumoSemanal" name="ResumoSemanal" id="5">
  <tableColumns count="22">
    <tableColumn name="Início" id="1"/>
    <tableColumn name="Fim" id="2"/>
    <tableColumn name="Pesagens" id="3"/>
    <tableColumn name="Peso médio" id="4"/>
    <tableColumn name="Variação kg" id="5"/>
    <tableColumn name="Cintura" id="6"/>
    <tableColumn name="kcal média" id="7"/>
    <tableColumn name="Proteína média" id="8"/>
    <tableColumn name="Gordura média" id="9"/>
    <tableColumn name="Dias completos" id="10"/>
    <tableColumn name="Aderência kcal" id="11"/>
    <tableColumn name="Aderência proteína" id="12"/>
    <tableColumn name="Treinos" id="13"/>
    <tableColumn name="Meta treinos" id="14"/>
    <tableColumn name="Passos médios" id="15"/>
    <tableColumn name="Cardio min" id="16"/>
    <tableColumn name="Sono médio" id="17"/>
    <tableColumn name="Muay Thai" id="18"/>
    <tableColumn name="Situação" id="19"/>
    <tableColumn name="Dias com registro" id="20"/>
    <tableColumn name="Itens sem cálculo" id="21"/>
    <tableColumn name="Cobertura alimentar" id="22"/>
  </tableColumns>
  <tableStyleInfo name="Semanas-style" showColumnStripes="0" showFirstColumn="1" showLastColumn="1" showRowStripes="1"/>
</table>
</file>

<file path=xl/tables/table6.xml><?xml version="1.0" encoding="utf-8"?>
<table xmlns="http://schemas.openxmlformats.org/spreadsheetml/2006/main" ref="A5:J45" displayName="MedidasFotos" name="MedidasFotos" id="6">
  <tableColumns count="10">
    <tableColumn name="Data" id="1"/>
    <tableColumn name="Cintura umbigo cm" id="2"/>
    <tableColumn name="Quadril cm" id="3"/>
    <tableColumn name="Peito cm" id="4"/>
    <tableColumn name="Braço direito cm" id="5"/>
    <tableColumn name="Coxa direita cm" id="6"/>
    <tableColumn name="Frente: link" id="7"/>
    <tableColumn name="Lado: link" id="8"/>
    <tableColumn name="Costas: link" id="9"/>
    <tableColumn name="Condições / observações" id="10"/>
  </tableColumns>
  <tableStyleInfo name="Medidas e fotos-style" showColumnStripes="0" showFirstColumn="1" showLastColumn="1" showRowStripes="1"/>
</table>
</file>

<file path=xl/tables/table7.xml><?xml version="1.0" encoding="utf-8"?>
<table xmlns="http://schemas.openxmlformats.org/spreadsheetml/2006/main" ref="A5:H55" displayName="RevisoesProjeto" name="RevisoesProjeto" id="7">
  <tableColumns count="8">
    <tableColumn name="Data" id="1"/>
    <tableColumn name="Área" id="2"/>
    <tableColumn name="Observação / motivo" id="3"/>
    <tableColumn name="Alteração proposta" id="4"/>
    <tableColumn name="Revisor" id="5"/>
    <tableColumn name="Status" id="6"/>
    <tableColumn name="Próxima revisão" id="7"/>
    <tableColumn name="Resultado após mudança" id="8"/>
  </tableColumns>
  <tableStyleInfo name="Revisões-style" showColumnStripes="0" showFirstColumn="1" showLastColumn="1" showRowStripes="1"/>
</table>
</file>

<file path=xl/tables/table8.xml><?xml version="1.0" encoding="utf-8"?>
<table xmlns="http://schemas.openxmlformats.org/spreadsheetml/2006/main" ref="A5:O115" displayName="BaseAlimentos" name="BaseAlimentos" id="8">
  <tableColumns count="15">
    <tableColumn name="Alimento único" id="1"/>
    <tableColumn name="Unidade-base" id="2"/>
    <tableColumn name="Base" id="3"/>
    <tableColumn name="kcal" id="4"/>
    <tableColumn name="Proteína g" id="5"/>
    <tableColumn name="Carboidrato g" id="6"/>
    <tableColumn name="Gordura g" id="7"/>
    <tableColumn name="Fibra g" id="8"/>
    <tableColumn name="Referência" id="9"/>
    <tableColumn name="Como medir" id="10"/>
    <tableColumn name="Link da fonte" id="11"/>
    <tableColumn name="Cadastro válido" id="12"/>
    <tableColumn name="Medida caseira" id="13"/>
    <tableColumn name="Base por medida" id="14"/>
    <tableColumn name="Qualidade da referência" id="15"/>
  </tableColumns>
  <tableStyleInfo name="Alimentos-style" showColumnStripes="0" showFirstColumn="1" showLastColumn="1" showRowStripes="1"/>
</table>
</file>

<file path=xl/tables/table9.xml><?xml version="1.0" encoding="utf-8"?>
<table xmlns="http://schemas.openxmlformats.org/spreadsheetml/2006/main" ref="A5:L6" displayName="Metas" name="Metas" id="9">
  <tableColumns count="12">
    <tableColumn name="Vigência" id="1"/>
    <tableColumn name="Versão" id="2"/>
    <tableColumn name="kcal" id="3"/>
    <tableColumn name="Proteína g" id="4"/>
    <tableColumn name="Gordura g" id="5"/>
    <tableColumn name="Carboidrato g" id="6"/>
    <tableColumn name="Treinos semana" id="7"/>
    <tableColumn name="Proteína mín" id="8"/>
    <tableColumn name="Proteína máx" id="9"/>
    <tableColumn name="Tolerância kcal" id="10"/>
    <tableColumn name="Tolerância gordura" id="11"/>
    <tableColumn name="Motivo" id="12"/>
  </tableColumns>
  <tableStyleInfo name="Histórico de metas-style" showColumnStripes="0" showFirstColumn="1" showLastColumn="1" showRowStripes="1"/>
</table>
</file>

<file path=xl/tables/table10.xml><?xml version="1.0" encoding="utf-8"?>
<table xmlns="http://schemas.openxmlformats.org/spreadsheetml/2006/main" ref="A5:C44" displayName="Exercicios" name="Exercicios" id="10">
  <tableColumns count="3">
    <tableColumn name="Exercício" id="1"/>
    <tableColumn name="Grupo" id="2"/>
    <tableColumn name="Convenção de carga" id="3"/>
  </tableColumns>
  <tableStyleInfo name="Exercícios-style" showColumnStripes="0" showFirstColumn="1" showLastColumn="1" showRowStripes="1"/>
</table>
</file>

<file path=xl/tables/table11.xml><?xml version="1.0" encoding="utf-8"?>
<table xmlns="http://schemas.openxmlformats.org/spreadsheetml/2006/main" ref="A5:O49" displayName="Fichas" name="Fichas" id="11">
  <tableColumns count="15">
    <tableColumn name="Versão" id="1"/>
    <tableColumn name="Vigência" id="2"/>
    <tableColumn name="Sessão" id="3"/>
    <tableColumn name="Exercício" id="4"/>
    <tableColumn name="Grupo" id="5"/>
    <tableColumn name="Work sets adaptação" id="6"/>
    <tableColumn name="Work sets regular" id="7"/>
    <tableColumn name="Reps work mín" id="8"/>
    <tableColumn name="Reps work máx" id="9"/>
    <tableColumn name="RIR work adaptação" id="10"/>
    <tableColumn name="RIR work regular" id="11"/>
    <tableColumn name="Descanso s" id="12"/>
    <tableColumn name="Alternativa" id="13"/>
    <tableColumn name="Revisão" id="14"/>
    <tableColumn name="Observações" id="15"/>
  </tableColumns>
  <tableStyleInfo name="Histórico de fichas-style" showColumnStripes="0" showFirstColumn="1" showLastColumn="1" showRowStripes="1"/>
</table>
</file>

<file path=xl/tables/table12.xml><?xml version="1.0" encoding="utf-8"?>
<table xmlns="http://schemas.openxmlformats.org/spreadsheetml/2006/main" ref="A5:H1000" displayName="Favoritas" name="Favoritas" id="12">
  <tableColumns count="8">
    <tableColumn name="Favorita" id="1"/>
    <tableColumn name="Versão" id="2"/>
    <tableColumn name="kcal" id="3"/>
    <tableColumn name="Proteína g" id="4"/>
    <tableColumn name="Carboidrato g" id="5"/>
    <tableColumn name="Gordura g" id="6"/>
    <tableColumn name="Fibra g" id="7"/>
    <tableColumn name="Observação" id="8"/>
  </tableColumns>
  <tableStyleInfo name="Favoritas-style" showColumnStripes="0" showFirstColumn="1" showLastColumn="1" showRowStripes="1"/>
</table>
</file>

<file path=xl/tables/table13.xml><?xml version="1.0" encoding="utf-8"?>
<table xmlns="http://schemas.openxmlformats.org/spreadsheetml/2006/main" ref="A5:J1000" displayName="Ingredientes" name="Ingredientes" id="13">
  <tableColumns count="10">
    <tableColumn name="Favorita" id="1"/>
    <tableColumn name="Alimento" id="2"/>
    <tableColumn name="Quantidade" id="3"/>
    <tableColumn name="Unidade" id="4"/>
    <tableColumn name="kcal" id="5"/>
    <tableColumn name="Proteína g" id="6"/>
    <tableColumn name="Carboidrato g" id="7"/>
    <tableColumn name="Gordura g" id="8"/>
    <tableColumn name="Fibra g" id="9"/>
    <tableColumn name="Conferência" id="10"/>
  </tableColumns>
  <tableStyleInfo name="Ingred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356B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3.0"/>
    <col customWidth="1" min="2" max="2" width="15.0"/>
    <col customWidth="1" min="3" max="3" width="12.0"/>
    <col customWidth="1" min="4" max="4" width="16.0"/>
    <col customWidth="1" min="5" max="5" width="17.0"/>
    <col customWidth="1" min="6" max="6" width="13.0"/>
    <col customWidth="1" min="7" max="7" width="16.0"/>
    <col customWidth="1" min="8" max="8" width="17.0"/>
    <col customWidth="1" min="9" max="9" width="14.0"/>
    <col customWidth="1" min="10" max="10" width="15.0"/>
    <col customWidth="1" min="11" max="11" width="13.0"/>
    <col customWidth="1" min="12" max="12" width="32.0"/>
    <col customWidth="1" min="13" max="13" width="8.63"/>
    <col customWidth="1" hidden="1" min="14" max="18" width="8.63"/>
    <col customWidth="1" min="19" max="32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2.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2.5" customHeight="1">
      <c r="A3" s="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2.5" customHeight="1">
      <c r="A4" s="3" t="s">
        <v>4</v>
      </c>
      <c r="B4" s="3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22.5" customHeight="1">
      <c r="A5" s="3" t="s">
        <v>8</v>
      </c>
      <c r="B5" s="9">
        <f>TODAY()</f>
        <v>46293</v>
      </c>
      <c r="C5" s="1"/>
      <c r="D5" s="3" t="s">
        <v>15</v>
      </c>
      <c r="E5" s="11" t="s">
        <v>16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22.5" customHeight="1">
      <c r="A7" s="3" t="s">
        <v>19</v>
      </c>
      <c r="B7" s="17"/>
      <c r="C7" s="1"/>
      <c r="D7" s="3" t="s">
        <v>23</v>
      </c>
      <c r="E7" s="17"/>
      <c r="F7" s="1"/>
      <c r="G7" s="3" t="s">
        <v>28</v>
      </c>
      <c r="H7" s="17"/>
      <c r="I7" s="1"/>
      <c r="J7" s="3" t="s">
        <v>32</v>
      </c>
      <c r="K7" s="1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22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22.5" customHeight="1">
      <c r="A9" s="3" t="s">
        <v>56</v>
      </c>
      <c r="B9" s="23" t="s">
        <v>67</v>
      </c>
      <c r="C9" s="1"/>
      <c r="D9" s="3" t="s">
        <v>68</v>
      </c>
      <c r="E9" s="23" t="s">
        <v>67</v>
      </c>
      <c r="F9" s="1"/>
      <c r="G9" s="3" t="s">
        <v>69</v>
      </c>
      <c r="H9" s="17"/>
      <c r="I9" s="1"/>
      <c r="J9" s="3" t="s">
        <v>70</v>
      </c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22.5" customHeight="1">
      <c r="A11" s="3" t="s">
        <v>71</v>
      </c>
      <c r="B11" s="17"/>
      <c r="C11" s="1"/>
      <c r="D11" s="3" t="s">
        <v>72</v>
      </c>
      <c r="E11" s="8"/>
      <c r="F11" s="13"/>
      <c r="G11" s="13"/>
      <c r="H11" s="13"/>
      <c r="I11" s="13"/>
      <c r="J11" s="13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25.5" customHeight="1">
      <c r="A14" s="3" t="s">
        <v>77</v>
      </c>
      <c r="B14" s="26"/>
      <c r="C14" s="14"/>
      <c r="D14" s="3" t="s">
        <v>94</v>
      </c>
      <c r="E14" s="28">
        <v>1.0</v>
      </c>
      <c r="F14" s="1"/>
      <c r="G14" s="3" t="s">
        <v>100</v>
      </c>
      <c r="H14" s="29" t="s">
        <v>109</v>
      </c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25.5" customHeight="1">
      <c r="A16" s="3" t="s">
        <v>114</v>
      </c>
      <c r="B16" s="26"/>
      <c r="C16" s="14"/>
      <c r="D16" s="3" t="s">
        <v>115</v>
      </c>
      <c r="E16" s="23"/>
      <c r="F16" s="1"/>
      <c r="G16" s="3" t="s">
        <v>119</v>
      </c>
      <c r="H16" s="29" t="s">
        <v>120</v>
      </c>
      <c r="I16" s="14"/>
      <c r="J16" s="3" t="s">
        <v>122</v>
      </c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25.5" customHeight="1">
      <c r="A17" s="3" t="s">
        <v>124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25.5" customHeight="1">
      <c r="A18" s="3" t="s">
        <v>127</v>
      </c>
      <c r="B18" s="32"/>
      <c r="C18" s="1"/>
      <c r="D18" s="3" t="s">
        <v>128</v>
      </c>
      <c r="E18" s="29" t="s">
        <v>130</v>
      </c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22.5" customHeight="1">
      <c r="A20" s="3" t="s">
        <v>131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22.5" customHeight="1">
      <c r="A23" s="3" t="s">
        <v>50</v>
      </c>
      <c r="B23" s="23"/>
      <c r="C23" s="1"/>
      <c r="D23" s="3" t="s">
        <v>132</v>
      </c>
      <c r="E23" s="23" t="s">
        <v>133</v>
      </c>
      <c r="F23" s="1"/>
      <c r="G23" s="3" t="s">
        <v>134</v>
      </c>
      <c r="H23" s="3"/>
      <c r="I23" s="1"/>
      <c r="J23" s="33"/>
      <c r="K23" s="3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4"/>
      <c r="AA23" s="1"/>
      <c r="AB23" s="1"/>
      <c r="AC23" s="1"/>
      <c r="AD23" s="1"/>
      <c r="AE23" s="1"/>
      <c r="AF23" s="1"/>
    </row>
    <row r="24" ht="22.5" customHeight="1">
      <c r="A24" s="22" t="s">
        <v>135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48.75" customHeight="1">
      <c r="A26" s="35" t="s">
        <v>3</v>
      </c>
      <c r="B26" s="35" t="s">
        <v>136</v>
      </c>
      <c r="C26" s="35" t="s">
        <v>137</v>
      </c>
      <c r="D26" s="35" t="s">
        <v>138</v>
      </c>
      <c r="E26" s="35" t="s">
        <v>139</v>
      </c>
      <c r="F26" s="35" t="s">
        <v>40</v>
      </c>
      <c r="G26" s="35" t="s">
        <v>41</v>
      </c>
      <c r="H26" s="35" t="s">
        <v>43</v>
      </c>
      <c r="I26" s="35" t="s">
        <v>44</v>
      </c>
      <c r="J26" s="35" t="s">
        <v>49</v>
      </c>
      <c r="K26" s="35" t="s">
        <v>140</v>
      </c>
      <c r="L26" s="35" t="s">
        <v>141</v>
      </c>
      <c r="M26" s="35" t="s">
        <v>48</v>
      </c>
      <c r="N26" s="1"/>
      <c r="O26" s="1"/>
      <c r="P26" s="1"/>
      <c r="Q26" s="1"/>
      <c r="R26" s="1"/>
      <c r="S26" s="3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22.5" customHeight="1">
      <c r="A27" s="23"/>
      <c r="B27" s="36"/>
      <c r="C27" s="36"/>
      <c r="D27" s="36"/>
      <c r="E27" s="36"/>
      <c r="F27" s="37"/>
      <c r="G27" s="37"/>
      <c r="H27" s="37"/>
      <c r="I27" s="37"/>
      <c r="J27" s="38"/>
      <c r="K27" s="38"/>
      <c r="L27" s="38"/>
      <c r="M27" s="38"/>
      <c r="N27" s="22"/>
      <c r="O27" s="22"/>
      <c r="P27" s="22"/>
      <c r="Q27" s="3"/>
      <c r="R27" s="3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22.5" customHeight="1">
      <c r="A28" s="23"/>
      <c r="B28" s="36"/>
      <c r="C28" s="36"/>
      <c r="D28" s="36"/>
      <c r="E28" s="36"/>
      <c r="F28" s="37"/>
      <c r="G28" s="37"/>
      <c r="H28" s="37"/>
      <c r="I28" s="37"/>
      <c r="J28" s="38"/>
      <c r="K28" s="38"/>
      <c r="L28" s="38"/>
      <c r="M28" s="38"/>
      <c r="N28" s="22"/>
      <c r="O28" s="22"/>
      <c r="P28" s="22"/>
      <c r="Q28" s="3"/>
      <c r="R28" s="3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22.5" customHeight="1">
      <c r="A29" s="23"/>
      <c r="B29" s="36"/>
      <c r="C29" s="36"/>
      <c r="D29" s="36"/>
      <c r="E29" s="36"/>
      <c r="F29" s="37"/>
      <c r="G29" s="37"/>
      <c r="H29" s="37"/>
      <c r="I29" s="37"/>
      <c r="J29" s="38"/>
      <c r="K29" s="38"/>
      <c r="L29" s="38"/>
      <c r="M29" s="38"/>
      <c r="N29" s="22"/>
      <c r="O29" s="22"/>
      <c r="P29" s="22"/>
      <c r="Q29" s="3"/>
      <c r="R29" s="3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22.5" customHeight="1">
      <c r="A30" s="23"/>
      <c r="B30" s="36"/>
      <c r="C30" s="36"/>
      <c r="D30" s="36"/>
      <c r="E30" s="36"/>
      <c r="F30" s="37"/>
      <c r="G30" s="37"/>
      <c r="H30" s="37"/>
      <c r="I30" s="37"/>
      <c r="J30" s="38"/>
      <c r="K30" s="38"/>
      <c r="L30" s="38"/>
      <c r="M30" s="38"/>
      <c r="N30" s="22"/>
      <c r="O30" s="22"/>
      <c r="P30" s="22"/>
      <c r="Q30" s="3"/>
      <c r="R30" s="3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22.5" customHeight="1">
      <c r="A31" s="23"/>
      <c r="B31" s="36"/>
      <c r="C31" s="36"/>
      <c r="D31" s="36"/>
      <c r="E31" s="36"/>
      <c r="F31" s="37"/>
      <c r="G31" s="37"/>
      <c r="H31" s="37"/>
      <c r="I31" s="37"/>
      <c r="J31" s="38"/>
      <c r="K31" s="38"/>
      <c r="L31" s="38"/>
      <c r="M31" s="38"/>
      <c r="N31" s="22"/>
      <c r="O31" s="22"/>
      <c r="P31" s="22"/>
      <c r="Q31" s="3"/>
      <c r="R31" s="3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22.5" customHeight="1">
      <c r="A32" s="23"/>
      <c r="B32" s="36"/>
      <c r="C32" s="36"/>
      <c r="D32" s="36"/>
      <c r="E32" s="36"/>
      <c r="F32" s="37"/>
      <c r="G32" s="37"/>
      <c r="H32" s="37"/>
      <c r="I32" s="37"/>
      <c r="J32" s="38"/>
      <c r="K32" s="38"/>
      <c r="L32" s="38"/>
      <c r="M32" s="38"/>
      <c r="N32" s="22"/>
      <c r="O32" s="22"/>
      <c r="P32" s="22"/>
      <c r="Q32" s="3"/>
      <c r="R32" s="3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22.5" customHeight="1">
      <c r="A33" s="23"/>
      <c r="B33" s="36"/>
      <c r="C33" s="36"/>
      <c r="D33" s="36"/>
      <c r="E33" s="36"/>
      <c r="F33" s="37"/>
      <c r="G33" s="37"/>
      <c r="H33" s="37"/>
      <c r="I33" s="37"/>
      <c r="J33" s="38"/>
      <c r="K33" s="38"/>
      <c r="L33" s="38"/>
      <c r="M33" s="38"/>
      <c r="N33" s="22"/>
      <c r="O33" s="22"/>
      <c r="P33" s="22"/>
      <c r="Q33" s="3"/>
      <c r="R33" s="3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22.5" customHeight="1">
      <c r="A34" s="23"/>
      <c r="B34" s="36"/>
      <c r="C34" s="36"/>
      <c r="D34" s="36"/>
      <c r="E34" s="36"/>
      <c r="F34" s="37"/>
      <c r="G34" s="37"/>
      <c r="H34" s="37"/>
      <c r="I34" s="37"/>
      <c r="J34" s="38"/>
      <c r="K34" s="38"/>
      <c r="L34" s="38"/>
      <c r="M34" s="38"/>
      <c r="N34" s="22"/>
      <c r="O34" s="22"/>
      <c r="P34" s="22"/>
      <c r="Q34" s="3"/>
      <c r="R34" s="3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22.5" customHeight="1">
      <c r="A35" s="17"/>
      <c r="B35" s="36"/>
      <c r="C35" s="36"/>
      <c r="D35" s="36"/>
      <c r="E35" s="36"/>
      <c r="F35" s="37"/>
      <c r="G35" s="37"/>
      <c r="H35" s="37"/>
      <c r="I35" s="37"/>
      <c r="J35" s="38"/>
      <c r="K35" s="38"/>
      <c r="L35" s="38"/>
      <c r="M35" s="3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22.5" customHeight="1">
      <c r="A36" s="17"/>
      <c r="B36" s="36"/>
      <c r="C36" s="36"/>
      <c r="D36" s="36"/>
      <c r="E36" s="36"/>
      <c r="F36" s="37"/>
      <c r="G36" s="37"/>
      <c r="H36" s="37"/>
      <c r="I36" s="37"/>
      <c r="J36" s="38"/>
      <c r="K36" s="38"/>
      <c r="L36" s="38"/>
      <c r="M36" s="3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22.5" customHeight="1">
      <c r="A37" s="17"/>
      <c r="B37" s="36"/>
      <c r="C37" s="36"/>
      <c r="D37" s="36"/>
      <c r="E37" s="36"/>
      <c r="F37" s="37"/>
      <c r="G37" s="37"/>
      <c r="H37" s="37"/>
      <c r="I37" s="37"/>
      <c r="J37" s="38"/>
      <c r="K37" s="38"/>
      <c r="L37" s="38"/>
      <c r="M37" s="3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22.5" customHeight="1">
      <c r="A38" s="17"/>
      <c r="B38" s="36"/>
      <c r="C38" s="36"/>
      <c r="D38" s="36"/>
      <c r="E38" s="36"/>
      <c r="F38" s="37"/>
      <c r="G38" s="37"/>
      <c r="H38" s="37"/>
      <c r="I38" s="37"/>
      <c r="J38" s="38"/>
      <c r="K38" s="38"/>
      <c r="L38" s="38"/>
      <c r="M38" s="3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22.5" customHeight="1">
      <c r="A39" s="22" t="s">
        <v>145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22.5" customHeight="1">
      <c r="A40" s="3" t="s">
        <v>146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22.5" customHeight="1">
      <c r="A42" s="3" t="s">
        <v>148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22.5" customHeight="1">
      <c r="A43" s="3" t="s">
        <v>149</v>
      </c>
      <c r="B43" s="3" t="s">
        <v>150</v>
      </c>
      <c r="C43" s="3" t="s">
        <v>151</v>
      </c>
      <c r="D43" s="3" t="s">
        <v>152</v>
      </c>
      <c r="E43" s="3" t="s">
        <v>15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30.0" customHeight="1">
      <c r="A44" s="3" t="s">
        <v>116</v>
      </c>
      <c r="B44" s="41" t="str">
        <f>IF(COUNTIF('Alimentação'!$A:$A,$B$5)=0,"",SUMIFS('Alimentação'!$F:$F,'Alimentação'!$A:$A,$B$5))</f>
        <v/>
      </c>
      <c r="C44" s="41" t="str">
        <f>IF(COUNTIFS('Diário'!$A:$A,$B$5,'Diário'!$M:$M,"&gt;0")=0,"",SUMIFS('Diário'!$M:$M,'Diário'!$A:$A,$B$5))</f>
        <v/>
      </c>
      <c r="D44" s="42" t="str">
        <f t="shared" ref="D44:D46" si="1">IF(NOT(ISNUMBER(B44)),"Sem registro",TEXT(B44,"0")&amp;" / "&amp;IF(ISNUMBER(C44),TEXT(C44,"0"),"meta pendente"))</f>
        <v>Sem registro</v>
      </c>
      <c r="E44" s="1" t="str">
        <f>IF(COUNTIF('Alimentação'!$A$6:$A1000,$B$5)=0,"Sem registro",IF(COUNTIFS('Diário'!$A$6:$A1000,$B$5,'Diário'!$G$6:$G1000,"Sim")=0,"Parcial — em andamento",IF(SUMIFS('Diário'!$AG$6:$AG1000,'Diário'!$A$6:$A1000,$B$5)&gt;0,"Completo — cálculo parcial",IF(OR(NOT(ISNUMBER(B44)),NOT(ISNUMBER(C44))),"Pendente",IF(ABS(B44/C44-1)&lt;=SUMIFS('Diário'!$T:$T,'Diário'!$A:$A,$B$5),"Na faixa",IF(ABS(B44/C44-1)&lt;=0.2,"Próximo","Distante"))))))</f>
        <v>Sem registro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30.0" customHeight="1">
      <c r="A45" s="3" t="s">
        <v>157</v>
      </c>
      <c r="B45" s="41" t="str">
        <f>IF(COUNTIF('Alimentação'!$A:$A,$B$5)=0,"",SUMIFS('Alimentação'!$G:$G,'Alimentação'!$A:$A,$B$5))</f>
        <v/>
      </c>
      <c r="C45" s="41" t="str">
        <f>IF(COUNTIFS('Diário'!$A:$A,$B$5,'Diário'!$N:$N,"&gt;0")=0,"",SUMIFS('Diário'!$N:$N,'Diário'!$A:$A,$B$5))</f>
        <v/>
      </c>
      <c r="D45" s="42" t="str">
        <f t="shared" si="1"/>
        <v>Sem registro</v>
      </c>
      <c r="E45" s="1" t="str">
        <f>IF(COUNTIF('Alimentação'!$A$6:$A1000,$B$5)=0,"Sem registro",IF(COUNTIFS('Diário'!$A$6:$A1000,$B$5,'Diário'!$G$6:$G1000,"Sim")=0,"Parcial — em andamento",IF(SUMIFS('Diário'!$AG$6:$AG1000,'Diário'!$A$6:$A1000,$B$5)&gt;0,"Completo — cálculo parcial",IF(OR(NOT(ISNUMBER(B45)),NOT(ISNUMBER(C45))),"Pendente",IF(AND(B45&gt;=SUMIFS('Diário'!$R:$R,'Diário'!$A:$A,$B$5),B45&lt;=SUMIFS('Diário'!$S:$S,'Diário'!$A:$A,$B$5)),"Na faixa",IF(ABS(B45/C45-1)&lt;=0.2,"Próximo","Distante"))))))</f>
        <v>Sem registro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30.0" customHeight="1">
      <c r="A46" s="3" t="s">
        <v>161</v>
      </c>
      <c r="B46" s="41" t="str">
        <f>IF(COUNTIF('Alimentação'!$A:$A,$B$5)=0,"",SUMIFS('Alimentação'!$I:$I,'Alimentação'!$A:$A,$B$5))</f>
        <v/>
      </c>
      <c r="C46" s="41" t="str">
        <f>IF(COUNTIFS('Diário'!$A:$A,$B$5,'Diário'!$O:$O,"&gt;0")=0,"",SUMIFS('Diário'!$O:$O,'Diário'!$A:$A,$B$5))</f>
        <v/>
      </c>
      <c r="D46" s="42" t="str">
        <f t="shared" si="1"/>
        <v>Sem registro</v>
      </c>
      <c r="E46" s="1" t="str">
        <f>IF(COUNTIF('Alimentação'!$A$6:$A1000,$B$5)=0,"Sem registro",IF(COUNTIFS('Diário'!$A$6:$A1000,$B$5,'Diário'!$G$6:$G1000,"Sim")=0,"Parcial — em andamento",IF(SUMIFS('Diário'!$AG$6:$AG1000,'Diário'!$A$6:$A1000,$B$5)&gt;0,"Completo — cálculo parcial",IF(OR(NOT(ISNUMBER(B46)),NOT(ISNUMBER(C46))),"Pendente",IF(ABS(B46/C46-1)&lt;=SUMIFS('Diário'!$U:$U,'Diário'!$A:$A,$B$5),"Na faixa",IF(ABS(B46/C46-1)&lt;=0.2,"Próximo","Distante"))))))</f>
        <v>Sem registro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22.5" customHeight="1">
      <c r="A48" s="3" t="s">
        <v>166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22.5" customHeight="1">
      <c r="A50" s="3" t="s">
        <v>167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22.5" customHeight="1">
      <c r="A51" s="3" t="s">
        <v>168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E5:L5"/>
    <mergeCell ref="E11:L11"/>
    <mergeCell ref="B14:C14"/>
    <mergeCell ref="H14:I14"/>
    <mergeCell ref="B16:C16"/>
    <mergeCell ref="H16:I16"/>
    <mergeCell ref="E18:F18"/>
  </mergeCells>
  <conditionalFormatting sqref="D44:E46">
    <cfRule type="expression" dxfId="5" priority="1">
      <formula>$E44="Na faixa"</formula>
    </cfRule>
  </conditionalFormatting>
  <conditionalFormatting sqref="D44:E46">
    <cfRule type="expression" dxfId="6" priority="2">
      <formula>$E44="Próximo"</formula>
    </cfRule>
  </conditionalFormatting>
  <conditionalFormatting sqref="D44:E46">
    <cfRule type="expression" dxfId="7" priority="3">
      <formula>$E44="Distante"</formula>
    </cfRule>
  </conditionalFormatting>
  <dataValidations>
    <dataValidation type="decimal" allowBlank="1" sqref="H7">
      <formula1>0.0</formula1>
      <formula2>100000.0</formula2>
    </dataValidation>
    <dataValidation type="list" allowBlank="1" showInputMessage="1" showErrorMessage="1" prompt="Favoritas criadas por você." sqref="B14">
      <formula1>Favoritas!$A$6:$A$1000</formula1>
    </dataValidation>
    <dataValidation type="list" allowBlank="1" sqref="A27:A38">
      <formula1>ListaExercicios</formula1>
    </dataValidation>
    <dataValidation type="list" allowBlank="1" sqref="B9 E9">
      <formula1>"Sim,Não"</formula1>
    </dataValidation>
    <dataValidation type="decimal" allowBlank="1" sqref="B7">
      <formula1>25.0</formula1>
      <formula2>300.0</formula2>
    </dataValidation>
    <dataValidation type="list" allowBlank="1" sqref="H16">
      <formula1>"Pesada,Rótulo,Estimada"</formula1>
    </dataValidation>
    <dataValidation type="decimal" allowBlank="1" sqref="E14">
      <formula1>0.01</formula1>
      <formula2>20.0</formula2>
    </dataValidation>
    <dataValidation type="list" allowBlank="1" showInputMessage="1" showErrorMessage="1" prompt="Refeição." sqref="H14">
      <formula1>"Café da manhã,Lanche,Almoço,Jantar,Pré-treino,Pós-treino,Ceia"</formula1>
    </dataValidation>
    <dataValidation type="list" allowBlank="1" showInputMessage="1" showErrorMessage="1" prompt="Unidades práticas exigem conversão cadastrada." sqref="K16">
      <formula1>"g,mg,kg,ml,l,un,fatia,porção"</formula1>
    </dataValidation>
    <dataValidation type="decimal" allowBlank="1" sqref="J27:K38">
      <formula1>0.0</formula1>
      <formula2>10.0</formula2>
    </dataValidation>
    <dataValidation type="decimal" allowBlank="1" sqref="B27:I38">
      <formula1>0.0</formula1>
      <formula2>1500.0</formula2>
    </dataValidation>
    <dataValidation type="decimal" allowBlank="1" sqref="E16">
      <formula1>0.0</formula1>
      <formula2>10000.0</formula2>
    </dataValidation>
    <dataValidation type="decimal" allowBlank="1" sqref="E7">
      <formula1>0.0</formula1>
      <formula2>24.0</formula2>
    </dataValidation>
    <dataValidation type="list" allowBlank="1" showInputMessage="1" showErrorMessage="1" prompt="Refeição a copiar." sqref="E18">
      <formula1>"Todas,Café da manhã,Lanche,Almoço,Jantar,Pré-treino,Pós-treino,Ceia"</formula1>
    </dataValidation>
    <dataValidation type="list" allowBlank="1" showInputMessage="1" showErrorMessage="1" prompt="Fase atual." sqref="E23">
      <formula1>"Adaptação,Regular"</formula1>
    </dataValidation>
    <dataValidation type="list" allowBlank="1" showInputMessage="1" showErrorMessage="1" prompt="Ação rápida, inclusive no celular." sqref="B4">
      <formula1>"—,Salvar dia,Carregar dia,Lançar alimento,Sem cálculo,Carregar treino,Salvar parcial,Concluir treino,Atualizar painel"</formula1>
    </dataValidation>
    <dataValidation type="list" allowBlank="1" showInputMessage="1" showErrorMessage="1" prompt="Escolha a sessão." sqref="B23">
      <formula1>"Upper,Lower,Full Body"</formula1>
    </dataValidation>
    <dataValidation type="list" allowBlank="1" showInputMessage="1" showErrorMessage="1" prompt="Escolha um alimento do cadastro." sqref="B16">
      <formula1>Alimentos!$A$6:$A$1000</formula1>
    </dataValidation>
    <dataValidation type="decimal" allowBlank="1" sqref="K7">
      <formula1>0.0</formula1>
      <formula2>600.0</formula2>
    </dataValidation>
    <dataValidation type="decimal" allowBlank="1" sqref="H9">
      <formula1>30.0</formula1>
      <formula2>250.0</formula2>
    </dataValidation>
    <dataValidation type="decimal" allowBlank="1" sqref="K9 B11">
      <formula1>1.0</formula1>
      <formula2>5.0</formula2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356B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3.0"/>
    <col customWidth="1" min="2" max="2" width="24.0"/>
    <col customWidth="1" min="3" max="3" width="48.0"/>
    <col customWidth="1" min="4" max="12" width="16.0"/>
    <col customWidth="1" min="13" max="26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39" t="s">
        <v>142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 t="s">
        <v>143</v>
      </c>
      <c r="B5" s="40">
        <f>Hoje!B5-WEEKDAY(Hoje!B5,2)+1</f>
        <v>46293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 t="s">
        <v>144</v>
      </c>
      <c r="B7" s="41" t="str">
        <f>IF(COUNTIFS(Semanas!$A:$A,$B$5,Semanas!$D:$D,"&gt;=-100000")=0,"",SUMIFS(Semanas!$D:$D,Semanas!$A:$A,$B$5))</f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 t="s">
        <v>147</v>
      </c>
      <c r="B8" s="41" t="str">
        <f>IF(COUNTIFS(Semanas!$A:$A,$B$5,Semanas!$E:$E,"&gt;=-100000")=0,"",SUMIFS(Semanas!$E:$E,Semanas!$A:$A,$B$5))</f>
        <v/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 t="s">
        <v>69</v>
      </c>
      <c r="B9" s="41" t="str">
        <f>IF(COUNTIFS(Semanas!$A:$A,$B$5,Semanas!$F:$F,"&gt;=-100000")=0,"",SUMIFS(Semanas!$F:$F,Semanas!$A:$A,$B$5))</f>
        <v/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22" t="s">
        <v>153</v>
      </c>
      <c r="B10" s="41" t="str">
        <f>IF(COUNTIFS(Semanas!$A:$A,$B$5,Semanas!$G:$G,"&gt;=-100000")=0,"",SUMIFS(Semanas!$G:$G,Semanas!$A:$A,$B$5))</f>
        <v/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 t="s">
        <v>154</v>
      </c>
      <c r="B11" s="41" t="str">
        <f>IF(COUNTIFS(Semanas!$A:$A,$B$5,Semanas!$H:$H,"&gt;=-100000")=0,"",SUMIFS(Semanas!$H:$H,Semanas!$A:$A,$B$5))</f>
        <v/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 t="s">
        <v>155</v>
      </c>
      <c r="B12" s="41" t="str">
        <f>IF(COUNTIFS(Semanas!$A:$A,$B$5,Semanas!$I:$I,"&gt;=-100000")=0,"",SUMIFS(Semanas!$I:$I,Semanas!$A:$A,$B$5))</f>
        <v/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22" t="s">
        <v>156</v>
      </c>
      <c r="B13" s="41" t="str">
        <f>IF(COUNTIFS(Semanas!$A:$A,$B$5,Semanas!$J:$J,"&gt;=-100000")=0,"",SUMIFS(Semanas!$J:$J,Semanas!$A:$A,$B$5))</f>
        <v/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 t="s">
        <v>158</v>
      </c>
      <c r="B14" s="43" t="str">
        <f>IF(COUNTIFS(Semanas!$A:$A,$B$5,Semanas!$K:$K,"&gt;=-100000")=0,"",SUMIFS(Semanas!$K:$K,Semanas!$A:$A,$B$5))</f>
        <v/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 t="s">
        <v>159</v>
      </c>
      <c r="B15" s="43" t="str">
        <f>IF(COUNTIFS(Semanas!$A:$A,$B$5,Semanas!$L:$L,"&gt;=-100000")=0,"",SUMIFS(Semanas!$L:$L,Semanas!$A:$A,$B$5))</f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 t="s">
        <v>160</v>
      </c>
      <c r="B16" s="41" t="str">
        <f>IF(COUNTIFS(Semanas!$A:$A,$B$5,Semanas!$M:$M,"&gt;=-100000")=0,"",SUMIFS(Semanas!$M:$M,Semanas!$A:$A,$B$5))</f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 t="s">
        <v>162</v>
      </c>
      <c r="B17" s="41" t="str">
        <f>IF(COUNTIFS(Semanas!$A:$A,$B$5,Semanas!$N:$N,"&gt;=-100000")=0,"",SUMIFS(Semanas!$N:$N,Semanas!$A:$A,$B$5))</f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 t="s">
        <v>165</v>
      </c>
      <c r="B18" s="41" t="str">
        <f>IF(COUNTIFS(Semanas!$A:$A,$B$5,Semanas!$O:$O,"&gt;=-100000")=0,"",SUMIFS(Semanas!$O:$O,Semanas!$A:$A,$B$5))</f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 t="s">
        <v>32</v>
      </c>
      <c r="B19" s="41" t="str">
        <f>IF(COUNTIFS(Semanas!$A:$A,$B$5,Semanas!$P:$P,"&gt;=-100000")=0,"",SUMIFS(Semanas!$P:$P,Semanas!$A:$A,$B$5))</f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 t="s">
        <v>169</v>
      </c>
      <c r="B20" s="41" t="str">
        <f>IF(COUNTIFS(Semanas!$A:$A,$B$5,Semanas!$Q:$Q,"&gt;=-100000")=0,"",SUMIFS(Semanas!$Q:$Q,Semanas!$A:$A,$B$5))</f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 t="s">
        <v>38</v>
      </c>
      <c r="B21" s="41" t="str">
        <f>IF(COUNTIFS(Semanas!$A:$A,$B$5,Semanas!$R:$R,"&gt;=-100000")=0,"",SUMIFS(Semanas!$R:$R,Semanas!$A:$A,$B$5))</f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 t="s">
        <v>176</v>
      </c>
      <c r="B22" s="41" t="str">
        <f>IF(COUNTIFS(Semanas!$A:$A,$B$5,Semanas!$C:$C,"&gt;=-100000")=0,"",SUMIFS(Semanas!$C:$C,Semanas!$A:$A,$B$5))</f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 t="s">
        <v>187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42" t="str">
        <f>IF(B13="","Sem histórico alimentar. Registre o que souber.","Médias calculadas com "&amp;B13&amp;" dias completos e com cálculo; não representam os dias ausentes.")</f>
        <v>Sem histórico alimentar. Registre o que souber.</v>
      </c>
      <c r="C26" s="42"/>
      <c r="D26" s="4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42"/>
      <c r="C27" s="42"/>
      <c r="D27" s="4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 t="s">
        <v>196</v>
      </c>
      <c r="B28" s="42" t="str">
        <f>IF($B$5+6&gt;=TODAY(),"Sim. Não comparar contagens com uma semana completa.","Não.")</f>
        <v>Sim. Não comparar contagens com uma semana completa.</v>
      </c>
      <c r="C28" s="42"/>
      <c r="D28" s="4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42"/>
      <c r="C29" s="42"/>
      <c r="D29" s="4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 t="s">
        <v>200</v>
      </c>
      <c r="B30" s="42" t="s">
        <v>201</v>
      </c>
      <c r="C30" s="42"/>
      <c r="D30" s="4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42"/>
      <c r="C31" s="42"/>
      <c r="D31" s="4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 t="s">
        <v>202</v>
      </c>
      <c r="B32" s="42" t="s">
        <v>203</v>
      </c>
      <c r="C32" s="42"/>
      <c r="D32" s="4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42"/>
      <c r="C33" s="42"/>
      <c r="D33" s="4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 t="s">
        <v>204</v>
      </c>
      <c r="B34" s="42" t="s">
        <v>205</v>
      </c>
      <c r="C34" s="42"/>
      <c r="D34" s="4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22" t="s">
        <v>207</v>
      </c>
      <c r="B36" s="1" t="str">
        <f t="array" ref="B36">IFERROR(INDEX(Semanas!$V$6:$V1000,MATCH(B5,Semanas!$A$6:$A1000,0)),"Sem registros nesta semana")</f>
        <v>Sem registros nesta semana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22" t="s">
        <v>211</v>
      </c>
      <c r="B38" s="1">
        <f t="array" ref="B38">IFERROR(INDEX(Semanas!$U$6:$U1000,MATCH(B5,Semanas!$A$6:$A1000,0)),0)</f>
        <v>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decimal" allowBlank="1" sqref="B6">
      <formula1>1.0</formula1>
      <formula2>16.0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6.0"/>
    <col customWidth="1" min="2" max="2" width="18.0"/>
    <col customWidth="1" min="3" max="3" width="35.0"/>
    <col customWidth="1" min="4" max="11" width="15.0"/>
    <col customWidth="1" min="12" max="12" width="22.0"/>
    <col customWidth="1" min="13" max="14" width="15.0"/>
    <col customWidth="1" min="15" max="33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2.5" customHeight="1">
      <c r="A5" s="3" t="s">
        <v>3</v>
      </c>
      <c r="B5" s="8"/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22.5" customHeight="1">
      <c r="A7" s="3" t="s">
        <v>26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2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30.0" customHeight="1">
      <c r="A9" s="20" t="s">
        <v>8</v>
      </c>
      <c r="B9" s="20" t="s">
        <v>39</v>
      </c>
      <c r="C9" s="20" t="s">
        <v>3</v>
      </c>
      <c r="D9" s="20" t="s">
        <v>40</v>
      </c>
      <c r="E9" s="20" t="s">
        <v>41</v>
      </c>
      <c r="F9" s="20" t="s">
        <v>43</v>
      </c>
      <c r="G9" s="20" t="s">
        <v>44</v>
      </c>
      <c r="H9" s="20" t="s">
        <v>45</v>
      </c>
      <c r="I9" s="20" t="s">
        <v>46</v>
      </c>
      <c r="J9" s="20" t="s">
        <v>48</v>
      </c>
      <c r="K9" s="20" t="s">
        <v>49</v>
      </c>
      <c r="L9" s="20" t="s">
        <v>50</v>
      </c>
      <c r="M9" s="20" t="s">
        <v>52</v>
      </c>
      <c r="N9" s="20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2.5" customHeight="1">
      <c r="A10" s="21"/>
      <c r="B10" s="3"/>
      <c r="C10" s="3"/>
      <c r="D10" s="22"/>
      <c r="E10" s="22"/>
      <c r="F10" s="22"/>
      <c r="G10" s="22"/>
      <c r="H10" s="22"/>
      <c r="I10" s="22"/>
      <c r="J10" s="22"/>
      <c r="K10" s="22"/>
      <c r="L10" s="3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2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2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2.5" customHeight="1">
      <c r="A33" s="3" t="s">
        <v>95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B5:D5"/>
  </mergeCells>
  <dataValidations>
    <dataValidation type="list" allowBlank="1" showInputMessage="1" showErrorMessage="1" prompt="Escolha um exercício cadastrado." sqref="B5">
      <formula1>'Exercícios'!$A$6:$A$1000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356B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9.0"/>
    <col customWidth="1" min="2" max="2" width="24.0"/>
    <col customWidth="1" min="3" max="3" width="25.0"/>
    <col customWidth="1" min="4" max="4" width="83.0"/>
    <col customWidth="1" min="5" max="26" width="8.63"/>
  </cols>
  <sheetData>
    <row r="1" ht="21.75" customHeight="1">
      <c r="A1" s="4"/>
      <c r="B1" s="4"/>
      <c r="C1" s="4"/>
      <c r="D1" s="4"/>
    </row>
    <row r="2" ht="21.75" customHeight="1">
      <c r="A2" s="5" t="s">
        <v>5</v>
      </c>
      <c r="B2" s="4"/>
      <c r="C2" s="4"/>
      <c r="D2" s="4"/>
    </row>
    <row r="3" ht="21.75" customHeight="1">
      <c r="A3" s="6" t="s">
        <v>7</v>
      </c>
      <c r="B3" s="4"/>
      <c r="C3" s="4"/>
      <c r="D3" s="4"/>
    </row>
    <row r="4" ht="21.75" customHeight="1">
      <c r="A4" s="4"/>
      <c r="B4" s="4"/>
      <c r="C4" s="4"/>
      <c r="D4" s="4"/>
    </row>
    <row r="5" ht="37.5" customHeight="1">
      <c r="A5" s="7" t="s">
        <v>9</v>
      </c>
      <c r="B5" s="7" t="s">
        <v>10</v>
      </c>
      <c r="C5" s="7" t="s">
        <v>11</v>
      </c>
      <c r="D5" s="7" t="s">
        <v>12</v>
      </c>
    </row>
    <row r="6" ht="21.75" customHeight="1">
      <c r="A6" s="4" t="s">
        <v>13</v>
      </c>
      <c r="B6" s="10" t="s">
        <v>14</v>
      </c>
      <c r="C6" s="12"/>
      <c r="D6" s="12" t="s">
        <v>17</v>
      </c>
    </row>
    <row r="7" ht="21.75" customHeight="1">
      <c r="A7" s="4" t="s">
        <v>18</v>
      </c>
      <c r="B7" s="15">
        <v>24.0</v>
      </c>
      <c r="C7" s="12" t="s">
        <v>20</v>
      </c>
      <c r="D7" s="16" t="s">
        <v>21</v>
      </c>
    </row>
    <row r="8" ht="21.75" customHeight="1">
      <c r="A8" s="4" t="s">
        <v>22</v>
      </c>
      <c r="B8" s="18">
        <v>1.79</v>
      </c>
      <c r="C8" s="12" t="s">
        <v>24</v>
      </c>
      <c r="D8" s="12" t="s">
        <v>25</v>
      </c>
    </row>
    <row r="9" ht="21.75" customHeight="1">
      <c r="A9" s="4" t="s">
        <v>27</v>
      </c>
      <c r="B9" s="18">
        <v>67.0</v>
      </c>
      <c r="C9" s="12" t="s">
        <v>29</v>
      </c>
      <c r="D9" s="12" t="s">
        <v>30</v>
      </c>
    </row>
    <row r="10" ht="21.75" customHeight="1">
      <c r="A10" s="4" t="s">
        <v>31</v>
      </c>
      <c r="B10" s="19">
        <v>46286.0</v>
      </c>
      <c r="C10" s="12" t="s">
        <v>33</v>
      </c>
      <c r="D10" s="12" t="s">
        <v>34</v>
      </c>
    </row>
    <row r="11" ht="21.75" customHeight="1">
      <c r="A11" s="4" t="s">
        <v>35</v>
      </c>
      <c r="B11" s="10">
        <v>3.0</v>
      </c>
      <c r="C11" s="12" t="s">
        <v>36</v>
      </c>
      <c r="D11" s="12" t="s">
        <v>37</v>
      </c>
    </row>
    <row r="12" ht="21.75" customHeight="1">
      <c r="A12" s="4" t="s">
        <v>38</v>
      </c>
      <c r="B12" s="10">
        <v>2.0</v>
      </c>
      <c r="C12" s="12" t="s">
        <v>36</v>
      </c>
      <c r="D12" s="12" t="s">
        <v>42</v>
      </c>
    </row>
    <row r="13" ht="21.75" customHeight="1">
      <c r="A13" s="4" t="s">
        <v>47</v>
      </c>
      <c r="B13" s="10">
        <v>0.0</v>
      </c>
      <c r="C13" s="12" t="s">
        <v>36</v>
      </c>
      <c r="D13" s="12" t="s">
        <v>51</v>
      </c>
    </row>
    <row r="14" ht="21.75" customHeight="1">
      <c r="A14" s="4" t="s">
        <v>54</v>
      </c>
      <c r="B14" s="10">
        <v>140.0</v>
      </c>
      <c r="C14" s="12" t="s">
        <v>55</v>
      </c>
      <c r="D14" s="12" t="s">
        <v>57</v>
      </c>
    </row>
    <row r="15" ht="21.75" customHeight="1">
      <c r="A15" s="4" t="s">
        <v>58</v>
      </c>
      <c r="B15" s="10">
        <v>135.0</v>
      </c>
      <c r="C15" s="12" t="s">
        <v>55</v>
      </c>
      <c r="D15" s="12" t="s">
        <v>59</v>
      </c>
    </row>
    <row r="16" ht="21.75" customHeight="1">
      <c r="A16" s="4" t="s">
        <v>60</v>
      </c>
      <c r="B16" s="10">
        <v>145.0</v>
      </c>
      <c r="C16" s="12" t="s">
        <v>55</v>
      </c>
      <c r="D16" s="12" t="s">
        <v>59</v>
      </c>
    </row>
    <row r="17" ht="21.75" customHeight="1">
      <c r="A17" s="4" t="s">
        <v>61</v>
      </c>
      <c r="B17" s="10">
        <v>2400.0</v>
      </c>
      <c r="C17" s="12" t="s">
        <v>62</v>
      </c>
      <c r="D17" s="12" t="s">
        <v>63</v>
      </c>
    </row>
    <row r="18" ht="21.75" customHeight="1">
      <c r="A18" s="4" t="s">
        <v>64</v>
      </c>
      <c r="B18" s="10">
        <v>65.0</v>
      </c>
      <c r="C18" s="12" t="s">
        <v>55</v>
      </c>
      <c r="D18" s="12" t="s">
        <v>65</v>
      </c>
    </row>
    <row r="19" ht="21.75" customHeight="1">
      <c r="A19" s="4" t="s">
        <v>66</v>
      </c>
      <c r="B19" s="24">
        <f>IF(OR(B17="",B18="",B14=""),"",(B17-4*B14-9*B18)/4)</f>
        <v>313.75</v>
      </c>
      <c r="C19" s="12" t="s">
        <v>55</v>
      </c>
      <c r="D19" s="12" t="s">
        <v>73</v>
      </c>
    </row>
    <row r="20" ht="21.75" customHeight="1">
      <c r="A20" s="4" t="s">
        <v>74</v>
      </c>
      <c r="B20" s="24">
        <f>IF(OR(B9="",B14=""),"",B14/B9)</f>
        <v>2.089552239</v>
      </c>
      <c r="C20" s="12" t="s">
        <v>75</v>
      </c>
      <c r="D20" s="12" t="s">
        <v>76</v>
      </c>
    </row>
    <row r="21" ht="21.75" customHeight="1">
      <c r="A21" s="4" t="s">
        <v>78</v>
      </c>
      <c r="B21" s="10"/>
      <c r="C21" s="12" t="s">
        <v>55</v>
      </c>
      <c r="D21" s="12" t="s">
        <v>79</v>
      </c>
    </row>
    <row r="22" ht="21.75" customHeight="1">
      <c r="A22" s="4" t="s">
        <v>80</v>
      </c>
      <c r="B22" s="25"/>
      <c r="C22" s="12" t="s">
        <v>33</v>
      </c>
      <c r="D22" s="12" t="s">
        <v>81</v>
      </c>
    </row>
    <row r="23" ht="21.75" customHeight="1">
      <c r="A23" s="4" t="s">
        <v>82</v>
      </c>
      <c r="B23" s="10" t="s">
        <v>83</v>
      </c>
      <c r="C23" s="12"/>
      <c r="D23" s="12" t="s">
        <v>84</v>
      </c>
    </row>
    <row r="24" ht="21.75" customHeight="1">
      <c r="A24" s="4" t="s">
        <v>85</v>
      </c>
      <c r="B24" s="10" t="s">
        <v>83</v>
      </c>
      <c r="C24" s="12"/>
      <c r="D24" s="16" t="s">
        <v>86</v>
      </c>
    </row>
    <row r="25" ht="21.75" customHeight="1">
      <c r="A25" s="4" t="s">
        <v>87</v>
      </c>
      <c r="B25" s="10" t="s">
        <v>88</v>
      </c>
      <c r="C25" s="12"/>
      <c r="D25" s="16" t="s">
        <v>89</v>
      </c>
    </row>
    <row r="26" ht="21.75" customHeight="1">
      <c r="A26" s="4" t="s">
        <v>90</v>
      </c>
      <c r="B26" s="10" t="s">
        <v>91</v>
      </c>
      <c r="C26" s="12"/>
      <c r="D26" s="12" t="s">
        <v>92</v>
      </c>
    </row>
    <row r="27" ht="21.75" customHeight="1">
      <c r="A27" s="4" t="s">
        <v>93</v>
      </c>
      <c r="B27" s="27" t="s">
        <v>96</v>
      </c>
      <c r="C27" s="12"/>
      <c r="D27" s="12" t="s">
        <v>97</v>
      </c>
    </row>
    <row r="28" ht="21.75" customHeight="1">
      <c r="A28" s="4" t="s">
        <v>98</v>
      </c>
      <c r="B28" s="10" t="s">
        <v>99</v>
      </c>
      <c r="C28" s="12"/>
      <c r="D28" s="12" t="s">
        <v>101</v>
      </c>
    </row>
    <row r="29" ht="21.75" customHeight="1">
      <c r="A29" s="4" t="s">
        <v>102</v>
      </c>
      <c r="B29" s="27" t="s">
        <v>103</v>
      </c>
      <c r="C29" s="12"/>
      <c r="D29" s="12" t="s">
        <v>104</v>
      </c>
    </row>
    <row r="30" ht="21.75" customHeight="1">
      <c r="A30" s="4" t="s">
        <v>105</v>
      </c>
      <c r="B30" s="10" t="s">
        <v>106</v>
      </c>
      <c r="C30" s="12" t="s">
        <v>107</v>
      </c>
      <c r="D30" s="12" t="s">
        <v>108</v>
      </c>
    </row>
    <row r="31" ht="21.75" customHeight="1">
      <c r="A31" s="4"/>
      <c r="B31" s="4"/>
      <c r="C31" s="4"/>
      <c r="D31" s="4"/>
    </row>
    <row r="32" ht="21.75" customHeight="1">
      <c r="A32" s="4"/>
      <c r="B32" s="4"/>
      <c r="C32" s="4"/>
      <c r="D32" s="4"/>
    </row>
    <row r="33" ht="21.75" customHeight="1">
      <c r="A33" s="30" t="s">
        <v>110</v>
      </c>
      <c r="B33" s="30" t="s">
        <v>111</v>
      </c>
      <c r="C33" s="30" t="s">
        <v>112</v>
      </c>
      <c r="D33" s="30" t="s">
        <v>53</v>
      </c>
    </row>
    <row r="34" ht="21.75" customHeight="1">
      <c r="A34" s="4" t="s">
        <v>113</v>
      </c>
      <c r="B34" s="31">
        <f>'Dieta base'!E31</f>
        <v>2440.7</v>
      </c>
      <c r="C34" s="4" t="s">
        <v>116</v>
      </c>
      <c r="D34" s="4" t="s">
        <v>117</v>
      </c>
    </row>
    <row r="35" ht="21.75" customHeight="1">
      <c r="A35" s="4" t="s">
        <v>118</v>
      </c>
      <c r="B35" s="31">
        <f>'Dieta base'!F31</f>
        <v>144.9066667</v>
      </c>
      <c r="C35" s="4" t="s">
        <v>121</v>
      </c>
      <c r="D35" s="4"/>
    </row>
    <row r="36" ht="21.75" customHeight="1">
      <c r="A36" s="4" t="s">
        <v>123</v>
      </c>
      <c r="B36" s="31">
        <f>'Dieta base'!G31</f>
        <v>314.2133333</v>
      </c>
      <c r="C36" s="4" t="s">
        <v>121</v>
      </c>
      <c r="D36" s="4"/>
    </row>
    <row r="37" ht="21.75" customHeight="1">
      <c r="A37" s="4" t="s">
        <v>125</v>
      </c>
      <c r="B37" s="31">
        <f>'Dieta base'!H31</f>
        <v>69.52333333</v>
      </c>
      <c r="C37" s="4" t="s">
        <v>121</v>
      </c>
      <c r="D37" s="4"/>
    </row>
    <row r="38" ht="21.75" customHeight="1">
      <c r="A38" s="4" t="s">
        <v>126</v>
      </c>
      <c r="B38" s="31">
        <f>'Dieta base'!I31</f>
        <v>44.39</v>
      </c>
      <c r="C38" s="4" t="s">
        <v>121</v>
      </c>
      <c r="D38" s="4" t="s">
        <v>129</v>
      </c>
    </row>
    <row r="39" ht="21.75" customHeight="1">
      <c r="A39" s="4"/>
      <c r="B39" s="4"/>
      <c r="C39" s="4"/>
      <c r="D39" s="4"/>
    </row>
    <row r="40" ht="21.75" customHeight="1">
      <c r="A40" s="4"/>
      <c r="B40" s="4"/>
      <c r="C40" s="4"/>
      <c r="D40" s="4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B27">
      <formula1>"A revisar,Revisado,Revisar novamente"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0"/>
    <col customWidth="1" min="2" max="2" width="33.0"/>
    <col customWidth="1" min="3" max="3" width="20.0"/>
    <col customWidth="1" min="4" max="4" width="16.0"/>
    <col customWidth="1" min="5" max="5" width="19.0"/>
    <col customWidth="1" min="6" max="7" width="12.0"/>
    <col customWidth="1" min="8" max="8" width="13.0"/>
    <col customWidth="1" min="9" max="10" width="14.0"/>
    <col customWidth="1" min="11" max="11" width="34.0"/>
    <col customWidth="1" min="12" max="12" width="23.0"/>
    <col customWidth="1" min="13" max="13" width="58.0"/>
    <col customWidth="1" min="14" max="14" width="8.63"/>
    <col customWidth="1" min="15" max="15" width="70.0"/>
    <col customWidth="1" min="16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>
      <c r="A2" s="44" t="s">
        <v>163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1.75" customHeight="1">
      <c r="A3" s="45" t="s">
        <v>164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7.5" customHeight="1">
      <c r="A5" s="46" t="s">
        <v>50</v>
      </c>
      <c r="B5" s="46" t="s">
        <v>3</v>
      </c>
      <c r="C5" s="46" t="s">
        <v>170</v>
      </c>
      <c r="D5" s="46" t="s">
        <v>172</v>
      </c>
      <c r="E5" s="46" t="s">
        <v>173</v>
      </c>
      <c r="F5" s="46" t="s">
        <v>175</v>
      </c>
      <c r="G5" s="46" t="s">
        <v>177</v>
      </c>
      <c r="H5" s="46" t="s">
        <v>178</v>
      </c>
      <c r="I5" s="46" t="s">
        <v>179</v>
      </c>
      <c r="J5" s="46" t="s">
        <v>180</v>
      </c>
      <c r="K5" s="46" t="s">
        <v>182</v>
      </c>
      <c r="L5" s="46" t="s">
        <v>185</v>
      </c>
      <c r="M5" s="46" t="s">
        <v>186</v>
      </c>
    </row>
    <row r="6" ht="48.0" customHeight="1">
      <c r="A6" s="50" t="s">
        <v>190</v>
      </c>
      <c r="B6" s="50" t="s">
        <v>198</v>
      </c>
      <c r="C6" s="50" t="s">
        <v>199</v>
      </c>
      <c r="D6" s="54">
        <v>2.0</v>
      </c>
      <c r="E6" s="54">
        <v>2.0</v>
      </c>
      <c r="F6" s="54">
        <v>6.0</v>
      </c>
      <c r="G6" s="54">
        <v>10.0</v>
      </c>
      <c r="H6" s="54">
        <v>1.0</v>
      </c>
      <c r="I6" s="54">
        <v>1.0</v>
      </c>
      <c r="J6" s="54">
        <v>150.0</v>
      </c>
      <c r="K6" s="54" t="s">
        <v>206</v>
      </c>
      <c r="L6" s="54" t="s">
        <v>208</v>
      </c>
      <c r="M6" s="54" t="s">
        <v>209</v>
      </c>
      <c r="O6" s="58"/>
    </row>
    <row r="7" ht="48.0" customHeight="1">
      <c r="A7" s="50" t="s">
        <v>190</v>
      </c>
      <c r="B7" s="50" t="s">
        <v>210</v>
      </c>
      <c r="C7" s="50" t="s">
        <v>212</v>
      </c>
      <c r="D7" s="54">
        <v>2.0</v>
      </c>
      <c r="E7" s="54">
        <v>2.0</v>
      </c>
      <c r="F7" s="54">
        <v>6.0</v>
      </c>
      <c r="G7" s="54">
        <v>10.0</v>
      </c>
      <c r="H7" s="54">
        <v>1.0</v>
      </c>
      <c r="I7" s="54">
        <v>1.0</v>
      </c>
      <c r="J7" s="54">
        <v>150.0</v>
      </c>
      <c r="K7" s="55"/>
      <c r="L7" s="54" t="s">
        <v>208</v>
      </c>
      <c r="M7" s="54" t="s">
        <v>209</v>
      </c>
      <c r="O7" s="58"/>
    </row>
    <row r="8" ht="48.0" customHeight="1">
      <c r="A8" s="50" t="s">
        <v>190</v>
      </c>
      <c r="B8" s="50" t="s">
        <v>213</v>
      </c>
      <c r="C8" s="50" t="s">
        <v>212</v>
      </c>
      <c r="D8" s="54">
        <v>2.0</v>
      </c>
      <c r="E8" s="54">
        <v>2.0</v>
      </c>
      <c r="F8" s="54">
        <v>6.0</v>
      </c>
      <c r="G8" s="54">
        <v>10.0</v>
      </c>
      <c r="H8" s="54">
        <v>1.0</v>
      </c>
      <c r="I8" s="54">
        <v>1.0</v>
      </c>
      <c r="J8" s="54">
        <v>150.0</v>
      </c>
      <c r="K8" s="55"/>
      <c r="L8" s="54" t="s">
        <v>208</v>
      </c>
      <c r="M8" s="54" t="s">
        <v>209</v>
      </c>
      <c r="O8" s="58"/>
    </row>
    <row r="9" ht="48.0" customHeight="1">
      <c r="A9" s="50" t="s">
        <v>190</v>
      </c>
      <c r="B9" s="50" t="s">
        <v>214</v>
      </c>
      <c r="C9" s="50" t="s">
        <v>199</v>
      </c>
      <c r="D9" s="54">
        <v>2.0</v>
      </c>
      <c r="E9" s="54">
        <v>2.0</v>
      </c>
      <c r="F9" s="54">
        <v>6.0</v>
      </c>
      <c r="G9" s="54">
        <v>10.0</v>
      </c>
      <c r="H9" s="54">
        <v>1.0</v>
      </c>
      <c r="I9" s="54">
        <v>1.0</v>
      </c>
      <c r="J9" s="54">
        <v>150.0</v>
      </c>
      <c r="K9" s="55"/>
      <c r="L9" s="54" t="s">
        <v>208</v>
      </c>
      <c r="M9" s="54" t="s">
        <v>209</v>
      </c>
      <c r="O9" s="58"/>
    </row>
    <row r="10" ht="48.0" customHeight="1">
      <c r="A10" s="50" t="s">
        <v>190</v>
      </c>
      <c r="B10" s="50" t="s">
        <v>215</v>
      </c>
      <c r="C10" s="50" t="s">
        <v>216</v>
      </c>
      <c r="D10" s="54">
        <v>2.0</v>
      </c>
      <c r="E10" s="54">
        <v>2.0</v>
      </c>
      <c r="F10" s="54">
        <v>6.0</v>
      </c>
      <c r="G10" s="54">
        <v>10.0</v>
      </c>
      <c r="H10" s="54">
        <v>1.0</v>
      </c>
      <c r="I10" s="54">
        <v>1.0</v>
      </c>
      <c r="J10" s="54">
        <v>120.0</v>
      </c>
      <c r="K10" s="55"/>
      <c r="L10" s="54" t="s">
        <v>208</v>
      </c>
      <c r="M10" s="54" t="s">
        <v>209</v>
      </c>
      <c r="O10" s="58"/>
    </row>
    <row r="11" ht="21.75" customHeight="1">
      <c r="A11" s="50" t="s">
        <v>190</v>
      </c>
      <c r="B11" s="50" t="s">
        <v>217</v>
      </c>
      <c r="C11" s="50" t="s">
        <v>216</v>
      </c>
      <c r="D11" s="54">
        <v>2.0</v>
      </c>
      <c r="E11" s="54">
        <v>2.0</v>
      </c>
      <c r="F11" s="54">
        <v>6.0</v>
      </c>
      <c r="G11" s="54">
        <v>10.0</v>
      </c>
      <c r="H11" s="54">
        <v>1.0</v>
      </c>
      <c r="I11" s="54">
        <v>1.0</v>
      </c>
      <c r="J11" s="54">
        <v>120.0</v>
      </c>
      <c r="K11" s="54" t="s">
        <v>218</v>
      </c>
      <c r="L11" s="54" t="s">
        <v>208</v>
      </c>
      <c r="M11" s="54" t="s">
        <v>209</v>
      </c>
    </row>
    <row r="12" ht="21.75" customHeight="1">
      <c r="A12" s="50" t="s">
        <v>190</v>
      </c>
      <c r="B12" s="50" t="s">
        <v>219</v>
      </c>
      <c r="C12" s="50" t="s">
        <v>220</v>
      </c>
      <c r="D12" s="54">
        <v>2.0</v>
      </c>
      <c r="E12" s="54">
        <v>2.0</v>
      </c>
      <c r="F12" s="54">
        <v>6.0</v>
      </c>
      <c r="G12" s="54">
        <v>10.0</v>
      </c>
      <c r="H12" s="54">
        <v>1.0</v>
      </c>
      <c r="I12" s="54">
        <v>1.0</v>
      </c>
      <c r="J12" s="54">
        <v>120.0</v>
      </c>
      <c r="K12" s="55"/>
      <c r="L12" s="54" t="s">
        <v>208</v>
      </c>
      <c r="M12" s="54" t="s">
        <v>209</v>
      </c>
    </row>
    <row r="13" ht="21.75" customHeight="1">
      <c r="A13" s="50" t="s">
        <v>190</v>
      </c>
      <c r="B13" s="50" t="s">
        <v>221</v>
      </c>
      <c r="C13" s="50" t="s">
        <v>222</v>
      </c>
      <c r="D13" s="54">
        <v>2.0</v>
      </c>
      <c r="E13" s="54">
        <v>2.0</v>
      </c>
      <c r="F13" s="54">
        <v>6.0</v>
      </c>
      <c r="G13" s="54">
        <v>10.0</v>
      </c>
      <c r="H13" s="54">
        <v>1.0</v>
      </c>
      <c r="I13" s="54">
        <v>1.0</v>
      </c>
      <c r="J13" s="54">
        <v>120.0</v>
      </c>
      <c r="K13" s="55"/>
      <c r="L13" s="54" t="s">
        <v>208</v>
      </c>
      <c r="M13" s="54" t="s">
        <v>209</v>
      </c>
    </row>
    <row r="14" ht="21.75" customHeight="1">
      <c r="A14" s="50" t="s">
        <v>223</v>
      </c>
      <c r="B14" s="50" t="s">
        <v>224</v>
      </c>
      <c r="C14" s="50" t="s">
        <v>225</v>
      </c>
      <c r="D14" s="54">
        <v>2.0</v>
      </c>
      <c r="E14" s="54">
        <v>2.0</v>
      </c>
      <c r="F14" s="54">
        <v>6.0</v>
      </c>
      <c r="G14" s="54">
        <v>10.0</v>
      </c>
      <c r="H14" s="54">
        <v>1.0</v>
      </c>
      <c r="I14" s="54">
        <v>1.0</v>
      </c>
      <c r="J14" s="54">
        <v>150.0</v>
      </c>
      <c r="K14" s="55"/>
      <c r="L14" s="54" t="s">
        <v>208</v>
      </c>
      <c r="M14" s="54" t="s">
        <v>209</v>
      </c>
    </row>
    <row r="15" ht="21.75" customHeight="1">
      <c r="A15" s="50" t="s">
        <v>223</v>
      </c>
      <c r="B15" s="50" t="s">
        <v>226</v>
      </c>
      <c r="C15" s="50" t="s">
        <v>225</v>
      </c>
      <c r="D15" s="54">
        <v>2.0</v>
      </c>
      <c r="E15" s="54">
        <v>2.0</v>
      </c>
      <c r="F15" s="54">
        <v>6.0</v>
      </c>
      <c r="G15" s="54">
        <v>10.0</v>
      </c>
      <c r="H15" s="54">
        <v>1.0</v>
      </c>
      <c r="I15" s="54">
        <v>1.0</v>
      </c>
      <c r="J15" s="54">
        <v>150.0</v>
      </c>
      <c r="K15" s="55"/>
      <c r="L15" s="54" t="s">
        <v>208</v>
      </c>
      <c r="M15" s="54" t="s">
        <v>209</v>
      </c>
    </row>
    <row r="16" ht="21.75" customHeight="1">
      <c r="A16" s="50" t="s">
        <v>223</v>
      </c>
      <c r="B16" s="50" t="s">
        <v>227</v>
      </c>
      <c r="C16" s="50" t="s">
        <v>228</v>
      </c>
      <c r="D16" s="54">
        <v>2.0</v>
      </c>
      <c r="E16" s="54">
        <v>2.0</v>
      </c>
      <c r="F16" s="54">
        <v>6.0</v>
      </c>
      <c r="G16" s="54">
        <v>10.0</v>
      </c>
      <c r="H16" s="54">
        <v>1.0</v>
      </c>
      <c r="I16" s="54">
        <v>1.0</v>
      </c>
      <c r="J16" s="54">
        <v>150.0</v>
      </c>
      <c r="K16" s="55"/>
      <c r="L16" s="54" t="s">
        <v>208</v>
      </c>
      <c r="M16" s="54" t="s">
        <v>209</v>
      </c>
    </row>
    <row r="17" ht="21.75" customHeight="1">
      <c r="A17" s="50" t="s">
        <v>223</v>
      </c>
      <c r="B17" s="50" t="s">
        <v>235</v>
      </c>
      <c r="C17" s="50" t="s">
        <v>228</v>
      </c>
      <c r="D17" s="54">
        <v>2.0</v>
      </c>
      <c r="E17" s="54">
        <v>2.0</v>
      </c>
      <c r="F17" s="54">
        <v>6.0</v>
      </c>
      <c r="G17" s="54">
        <v>10.0</v>
      </c>
      <c r="H17" s="54">
        <v>1.0</v>
      </c>
      <c r="I17" s="54">
        <v>1.0</v>
      </c>
      <c r="J17" s="54">
        <v>150.0</v>
      </c>
      <c r="K17" s="55"/>
      <c r="L17" s="54" t="s">
        <v>208</v>
      </c>
      <c r="M17" s="54" t="s">
        <v>209</v>
      </c>
    </row>
    <row r="18" ht="21.75" customHeight="1">
      <c r="A18" s="50" t="s">
        <v>223</v>
      </c>
      <c r="B18" s="50" t="s">
        <v>236</v>
      </c>
      <c r="C18" s="50" t="s">
        <v>237</v>
      </c>
      <c r="D18" s="54">
        <v>2.0</v>
      </c>
      <c r="E18" s="54">
        <v>2.0</v>
      </c>
      <c r="F18" s="54">
        <v>6.0</v>
      </c>
      <c r="G18" s="54">
        <v>10.0</v>
      </c>
      <c r="H18" s="54">
        <v>1.0</v>
      </c>
      <c r="I18" s="54">
        <v>1.0</v>
      </c>
      <c r="J18" s="54">
        <v>120.0</v>
      </c>
      <c r="K18" s="54" t="s">
        <v>242</v>
      </c>
      <c r="L18" s="54" t="s">
        <v>208</v>
      </c>
      <c r="M18" s="54" t="s">
        <v>209</v>
      </c>
    </row>
    <row r="19" ht="21.75" customHeight="1">
      <c r="A19" s="50" t="s">
        <v>223</v>
      </c>
      <c r="B19" s="50" t="s">
        <v>253</v>
      </c>
      <c r="C19" s="50" t="s">
        <v>255</v>
      </c>
      <c r="D19" s="54">
        <v>2.0</v>
      </c>
      <c r="E19" s="54">
        <v>2.0</v>
      </c>
      <c r="F19" s="54">
        <v>6.0</v>
      </c>
      <c r="G19" s="54">
        <v>10.0</v>
      </c>
      <c r="H19" s="54">
        <v>1.0</v>
      </c>
      <c r="I19" s="54">
        <v>1.0</v>
      </c>
      <c r="J19" s="54">
        <v>120.0</v>
      </c>
      <c r="K19" s="55"/>
      <c r="L19" s="54" t="s">
        <v>208</v>
      </c>
      <c r="M19" s="54" t="s">
        <v>209</v>
      </c>
    </row>
    <row r="20" ht="21.75" customHeight="1">
      <c r="A20" s="50" t="s">
        <v>265</v>
      </c>
      <c r="B20" s="50" t="s">
        <v>226</v>
      </c>
      <c r="C20" s="50" t="s">
        <v>225</v>
      </c>
      <c r="D20" s="54">
        <v>2.0</v>
      </c>
      <c r="E20" s="54">
        <v>2.0</v>
      </c>
      <c r="F20" s="54">
        <v>6.0</v>
      </c>
      <c r="G20" s="54">
        <v>10.0</v>
      </c>
      <c r="H20" s="54">
        <v>1.0</v>
      </c>
      <c r="I20" s="54">
        <v>1.0</v>
      </c>
      <c r="J20" s="54">
        <v>150.0</v>
      </c>
      <c r="K20" s="55"/>
      <c r="L20" s="54" t="s">
        <v>208</v>
      </c>
      <c r="M20" s="54" t="s">
        <v>209</v>
      </c>
    </row>
    <row r="21" ht="21.75" customHeight="1">
      <c r="A21" s="50" t="s">
        <v>265</v>
      </c>
      <c r="B21" s="50" t="s">
        <v>268</v>
      </c>
      <c r="C21" s="50" t="s">
        <v>199</v>
      </c>
      <c r="D21" s="54">
        <v>2.0</v>
      </c>
      <c r="E21" s="54">
        <v>2.0</v>
      </c>
      <c r="F21" s="54">
        <v>6.0</v>
      </c>
      <c r="G21" s="54">
        <v>10.0</v>
      </c>
      <c r="H21" s="54">
        <v>1.0</v>
      </c>
      <c r="I21" s="54">
        <v>1.0</v>
      </c>
      <c r="J21" s="54">
        <v>150.0</v>
      </c>
      <c r="K21" s="55"/>
      <c r="L21" s="54" t="s">
        <v>208</v>
      </c>
      <c r="M21" s="54" t="s">
        <v>209</v>
      </c>
    </row>
    <row r="22" ht="21.75" customHeight="1">
      <c r="A22" s="50" t="s">
        <v>265</v>
      </c>
      <c r="B22" s="50" t="s">
        <v>210</v>
      </c>
      <c r="C22" s="50" t="s">
        <v>212</v>
      </c>
      <c r="D22" s="54">
        <v>2.0</v>
      </c>
      <c r="E22" s="54">
        <v>2.0</v>
      </c>
      <c r="F22" s="54">
        <v>6.0</v>
      </c>
      <c r="G22" s="54">
        <v>10.0</v>
      </c>
      <c r="H22" s="54">
        <v>1.0</v>
      </c>
      <c r="I22" s="54">
        <v>1.0</v>
      </c>
      <c r="J22" s="54">
        <v>150.0</v>
      </c>
      <c r="K22" s="55"/>
      <c r="L22" s="54" t="s">
        <v>208</v>
      </c>
      <c r="M22" s="54" t="s">
        <v>209</v>
      </c>
    </row>
    <row r="23" ht="21.75" customHeight="1">
      <c r="A23" s="50" t="s">
        <v>265</v>
      </c>
      <c r="B23" s="50" t="s">
        <v>272</v>
      </c>
      <c r="C23" s="50" t="s">
        <v>212</v>
      </c>
      <c r="D23" s="54">
        <v>2.0</v>
      </c>
      <c r="E23" s="54">
        <v>2.0</v>
      </c>
      <c r="F23" s="54">
        <v>6.0</v>
      </c>
      <c r="G23" s="54">
        <v>10.0</v>
      </c>
      <c r="H23" s="54">
        <v>1.0</v>
      </c>
      <c r="I23" s="54">
        <v>1.0</v>
      </c>
      <c r="J23" s="54">
        <v>150.0</v>
      </c>
      <c r="K23" s="54" t="s">
        <v>275</v>
      </c>
      <c r="L23" s="54" t="s">
        <v>208</v>
      </c>
      <c r="M23" s="54" t="s">
        <v>209</v>
      </c>
    </row>
    <row r="24" ht="21.75" customHeight="1">
      <c r="A24" s="50" t="s">
        <v>265</v>
      </c>
      <c r="B24" s="50" t="s">
        <v>215</v>
      </c>
      <c r="C24" s="50" t="s">
        <v>216</v>
      </c>
      <c r="D24" s="54">
        <v>2.0</v>
      </c>
      <c r="E24" s="54">
        <v>2.0</v>
      </c>
      <c r="F24" s="54">
        <v>6.0</v>
      </c>
      <c r="G24" s="54">
        <v>10.0</v>
      </c>
      <c r="H24" s="54">
        <v>1.0</v>
      </c>
      <c r="I24" s="54">
        <v>1.0</v>
      </c>
      <c r="J24" s="54">
        <v>120.0</v>
      </c>
      <c r="K24" s="55"/>
      <c r="L24" s="54" t="s">
        <v>208</v>
      </c>
      <c r="M24" s="54" t="s">
        <v>209</v>
      </c>
    </row>
    <row r="25" ht="21.75" customHeight="1">
      <c r="A25" s="50" t="s">
        <v>265</v>
      </c>
      <c r="B25" s="50" t="s">
        <v>217</v>
      </c>
      <c r="C25" s="50" t="s">
        <v>216</v>
      </c>
      <c r="D25" s="54">
        <v>2.0</v>
      </c>
      <c r="E25" s="54">
        <v>2.0</v>
      </c>
      <c r="F25" s="54">
        <v>6.0</v>
      </c>
      <c r="G25" s="54">
        <v>10.0</v>
      </c>
      <c r="H25" s="54">
        <v>1.0</v>
      </c>
      <c r="I25" s="54">
        <v>1.0</v>
      </c>
      <c r="J25" s="54">
        <v>120.0</v>
      </c>
      <c r="K25" s="54" t="s">
        <v>218</v>
      </c>
      <c r="L25" s="54" t="s">
        <v>208</v>
      </c>
      <c r="M25" s="54" t="s">
        <v>209</v>
      </c>
    </row>
    <row r="26" ht="21.75" customHeight="1">
      <c r="A26" s="50" t="s">
        <v>265</v>
      </c>
      <c r="B26" s="50" t="s">
        <v>279</v>
      </c>
      <c r="C26" s="50" t="s">
        <v>220</v>
      </c>
      <c r="D26" s="54">
        <v>2.0</v>
      </c>
      <c r="E26" s="54">
        <v>2.0</v>
      </c>
      <c r="F26" s="54">
        <v>6.0</v>
      </c>
      <c r="G26" s="54">
        <v>10.0</v>
      </c>
      <c r="H26" s="54">
        <v>1.0</v>
      </c>
      <c r="I26" s="54">
        <v>1.0</v>
      </c>
      <c r="J26" s="54">
        <v>120.0</v>
      </c>
      <c r="K26" s="55"/>
      <c r="L26" s="54" t="s">
        <v>208</v>
      </c>
      <c r="M26" s="54" t="s">
        <v>209</v>
      </c>
    </row>
    <row r="27" ht="21.75" customHeight="1">
      <c r="A27" s="50" t="s">
        <v>265</v>
      </c>
      <c r="B27" s="50" t="s">
        <v>221</v>
      </c>
      <c r="C27" s="50" t="s">
        <v>222</v>
      </c>
      <c r="D27" s="54">
        <v>2.0</v>
      </c>
      <c r="E27" s="54">
        <v>2.0</v>
      </c>
      <c r="F27" s="54">
        <v>6.0</v>
      </c>
      <c r="G27" s="54">
        <v>10.0</v>
      </c>
      <c r="H27" s="54">
        <v>1.0</v>
      </c>
      <c r="I27" s="54">
        <v>1.0</v>
      </c>
      <c r="J27" s="54">
        <v>120.0</v>
      </c>
      <c r="K27" s="55"/>
      <c r="L27" s="54" t="s">
        <v>208</v>
      </c>
      <c r="M27" s="54" t="s">
        <v>209</v>
      </c>
    </row>
    <row r="28" ht="21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21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21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21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21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21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21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3.5" customHeight="1">
      <c r="B46" s="67"/>
    </row>
    <row r="47" ht="13.5" customHeight="1">
      <c r="B47" s="67"/>
    </row>
    <row r="48" ht="13.5" customHeight="1">
      <c r="B48" s="67"/>
    </row>
    <row r="49" ht="13.5" customHeight="1">
      <c r="B49" s="67"/>
    </row>
    <row r="50" ht="13.5" customHeight="1">
      <c r="B50" s="67"/>
    </row>
    <row r="51" ht="13.5" customHeight="1">
      <c r="B51" s="67"/>
    </row>
    <row r="52" ht="13.5" customHeight="1">
      <c r="B52" s="67"/>
    </row>
    <row r="53" ht="13.5" customHeight="1">
      <c r="B53" s="67"/>
    </row>
    <row r="54" ht="13.5" customHeight="1">
      <c r="B54" s="67"/>
    </row>
    <row r="55" ht="13.5" customHeight="1">
      <c r="B55" s="67"/>
    </row>
    <row r="56" ht="13.5" customHeight="1">
      <c r="B56" s="67"/>
    </row>
    <row r="57" ht="13.5" customHeight="1">
      <c r="B57" s="67"/>
    </row>
    <row r="58" ht="13.5" customHeight="1">
      <c r="B58" s="67"/>
    </row>
    <row r="59" ht="13.5" customHeight="1">
      <c r="B59" s="67"/>
    </row>
    <row r="60" ht="13.5" customHeight="1">
      <c r="B60" s="67"/>
    </row>
    <row r="61" ht="13.5" customHeight="1">
      <c r="B61" s="67"/>
    </row>
    <row r="62" ht="13.5" customHeight="1">
      <c r="B62" s="67"/>
    </row>
    <row r="63" ht="13.5" customHeight="1">
      <c r="B63" s="67"/>
    </row>
    <row r="64" ht="13.5" customHeight="1">
      <c r="B64" s="67"/>
    </row>
    <row r="65" ht="13.5" customHeight="1">
      <c r="B65" s="67"/>
    </row>
    <row r="66" ht="13.5" customHeight="1">
      <c r="B66" s="67"/>
    </row>
    <row r="67" ht="13.5" customHeight="1">
      <c r="B67" s="67"/>
    </row>
    <row r="68" ht="13.5" customHeight="1">
      <c r="B68" s="67"/>
    </row>
    <row r="69" ht="13.5" customHeight="1">
      <c r="B69" s="67"/>
    </row>
    <row r="70" ht="13.5" customHeight="1">
      <c r="B70" s="67"/>
    </row>
    <row r="71" ht="13.5" customHeight="1">
      <c r="B71" s="67"/>
    </row>
    <row r="72" ht="13.5" customHeight="1">
      <c r="B72" s="67"/>
    </row>
    <row r="73" ht="13.5" customHeight="1">
      <c r="B73" s="67"/>
    </row>
    <row r="74" ht="13.5" customHeight="1">
      <c r="B74" s="67"/>
    </row>
    <row r="75" ht="13.5" customHeight="1">
      <c r="B75" s="67"/>
    </row>
    <row r="76" ht="13.5" customHeight="1">
      <c r="B76" s="67"/>
    </row>
    <row r="77" ht="13.5" customHeight="1">
      <c r="B77" s="67"/>
    </row>
    <row r="78" ht="13.5" customHeight="1">
      <c r="B78" s="67"/>
    </row>
    <row r="79" ht="13.5" customHeight="1">
      <c r="B79" s="67"/>
    </row>
    <row r="80" ht="13.5" customHeight="1">
      <c r="B80" s="67"/>
    </row>
    <row r="81" ht="13.5" customHeight="1">
      <c r="B81" s="67"/>
    </row>
    <row r="82" ht="13.5" customHeight="1">
      <c r="B82" s="67"/>
    </row>
    <row r="83" ht="13.5" customHeight="1">
      <c r="B83" s="67"/>
    </row>
    <row r="84" ht="13.5" customHeight="1">
      <c r="B84" s="67"/>
    </row>
    <row r="85" ht="13.5" customHeight="1">
      <c r="B85" s="67"/>
    </row>
    <row r="86" ht="13.5" customHeight="1">
      <c r="B86" s="67"/>
    </row>
    <row r="87" ht="13.5" customHeight="1">
      <c r="B87" s="67"/>
    </row>
    <row r="88" ht="13.5" customHeight="1">
      <c r="B88" s="67"/>
    </row>
    <row r="89" ht="13.5" customHeight="1">
      <c r="B89" s="67"/>
    </row>
    <row r="90" ht="13.5" customHeight="1">
      <c r="B90" s="67"/>
    </row>
    <row r="91" ht="13.5" customHeight="1">
      <c r="B91" s="67"/>
    </row>
    <row r="92" ht="13.5" customHeight="1">
      <c r="B92" s="67"/>
    </row>
    <row r="93" ht="13.5" customHeight="1">
      <c r="B93" s="67"/>
    </row>
    <row r="94" ht="13.5" customHeight="1">
      <c r="B94" s="67"/>
    </row>
    <row r="95" ht="13.5" customHeight="1">
      <c r="B95" s="67"/>
    </row>
    <row r="96" ht="13.5" customHeight="1">
      <c r="B96" s="67"/>
    </row>
    <row r="97" ht="13.5" customHeight="1">
      <c r="B97" s="67"/>
    </row>
    <row r="98" ht="13.5" customHeight="1">
      <c r="B98" s="67"/>
    </row>
    <row r="99" ht="13.5" customHeight="1">
      <c r="B99" s="67"/>
    </row>
    <row r="100" ht="13.5" customHeight="1">
      <c r="B100" s="67"/>
    </row>
    <row r="101" ht="13.5" customHeight="1">
      <c r="B101" s="67"/>
    </row>
    <row r="102" ht="13.5" customHeight="1">
      <c r="B102" s="67"/>
    </row>
    <row r="103" ht="13.5" customHeight="1">
      <c r="B103" s="67"/>
    </row>
    <row r="104" ht="13.5" customHeight="1">
      <c r="B104" s="67"/>
    </row>
    <row r="105" ht="13.5" customHeight="1">
      <c r="B105" s="67"/>
    </row>
    <row r="106" ht="13.5" customHeight="1">
      <c r="B106" s="67"/>
    </row>
    <row r="107" ht="13.5" customHeight="1">
      <c r="B107" s="67"/>
    </row>
    <row r="108" ht="13.5" customHeight="1">
      <c r="B108" s="67"/>
    </row>
    <row r="109" ht="13.5" customHeight="1">
      <c r="B109" s="67"/>
    </row>
    <row r="110" ht="13.5" customHeight="1">
      <c r="B110" s="67"/>
    </row>
    <row r="111" ht="13.5" customHeight="1">
      <c r="B111" s="67"/>
    </row>
    <row r="112" ht="13.5" customHeight="1">
      <c r="B112" s="67"/>
    </row>
    <row r="113" ht="13.5" customHeight="1">
      <c r="B113" s="67"/>
    </row>
    <row r="114" ht="13.5" customHeight="1">
      <c r="B114" s="67"/>
    </row>
    <row r="115" ht="13.5" customHeight="1">
      <c r="B115" s="67"/>
    </row>
    <row r="116" ht="13.5" customHeight="1">
      <c r="B116" s="67"/>
    </row>
    <row r="117" ht="13.5" customHeight="1">
      <c r="B117" s="67"/>
    </row>
    <row r="118" ht="13.5" customHeight="1">
      <c r="B118" s="67"/>
    </row>
    <row r="119" ht="13.5" customHeight="1">
      <c r="B119" s="67"/>
    </row>
    <row r="120" ht="13.5" customHeight="1">
      <c r="B120" s="67"/>
    </row>
    <row r="121" ht="13.5" customHeight="1">
      <c r="B121" s="67"/>
    </row>
    <row r="122" ht="13.5" customHeight="1">
      <c r="B122" s="67"/>
    </row>
    <row r="123" ht="13.5" customHeight="1">
      <c r="B123" s="67"/>
    </row>
    <row r="124" ht="13.5" customHeight="1">
      <c r="B124" s="67"/>
    </row>
    <row r="125" ht="13.5" customHeight="1">
      <c r="B125" s="67"/>
    </row>
    <row r="126" ht="13.5" customHeight="1">
      <c r="B126" s="67"/>
    </row>
    <row r="127" ht="13.5" customHeight="1">
      <c r="B127" s="67"/>
    </row>
    <row r="128" ht="13.5" customHeight="1">
      <c r="B128" s="67"/>
    </row>
    <row r="129" ht="13.5" customHeight="1">
      <c r="B129" s="67"/>
    </row>
    <row r="130" ht="13.5" customHeight="1">
      <c r="B130" s="67"/>
    </row>
    <row r="131" ht="13.5" customHeight="1">
      <c r="B131" s="67"/>
    </row>
    <row r="132" ht="13.5" customHeight="1">
      <c r="B132" s="67"/>
    </row>
    <row r="133" ht="13.5" customHeight="1">
      <c r="B133" s="67"/>
    </row>
    <row r="134" ht="13.5" customHeight="1">
      <c r="B134" s="67"/>
    </row>
    <row r="135" ht="13.5" customHeight="1">
      <c r="B135" s="67"/>
    </row>
    <row r="136" ht="13.5" customHeight="1">
      <c r="B136" s="67"/>
    </row>
    <row r="137" ht="13.5" customHeight="1">
      <c r="B137" s="67"/>
    </row>
    <row r="138" ht="13.5" customHeight="1">
      <c r="B138" s="67"/>
    </row>
    <row r="139" ht="13.5" customHeight="1">
      <c r="B139" s="67"/>
    </row>
    <row r="140" ht="13.5" customHeight="1">
      <c r="B140" s="67"/>
    </row>
    <row r="141" ht="13.5" customHeight="1">
      <c r="B141" s="67"/>
    </row>
    <row r="142" ht="13.5" customHeight="1">
      <c r="B142" s="67"/>
    </row>
    <row r="143" ht="13.5" customHeight="1">
      <c r="B143" s="67"/>
    </row>
    <row r="144" ht="13.5" customHeight="1">
      <c r="B144" s="67"/>
    </row>
    <row r="145" ht="13.5" customHeight="1">
      <c r="B145" s="67"/>
    </row>
    <row r="146" ht="13.5" customHeight="1">
      <c r="B146" s="67"/>
    </row>
    <row r="147" ht="13.5" customHeight="1">
      <c r="B147" s="67"/>
    </row>
    <row r="148" ht="13.5" customHeight="1">
      <c r="B148" s="67"/>
    </row>
    <row r="149" ht="13.5" customHeight="1">
      <c r="B149" s="67"/>
    </row>
    <row r="150" ht="13.5" customHeight="1">
      <c r="B150" s="67"/>
    </row>
    <row r="151" ht="13.5" customHeight="1">
      <c r="B151" s="67"/>
    </row>
    <row r="152" ht="13.5" customHeight="1">
      <c r="B152" s="67"/>
    </row>
    <row r="153" ht="13.5" customHeight="1">
      <c r="B153" s="67"/>
    </row>
    <row r="154" ht="13.5" customHeight="1">
      <c r="B154" s="67"/>
    </row>
    <row r="155" ht="13.5" customHeight="1">
      <c r="B155" s="67"/>
    </row>
    <row r="156" ht="13.5" customHeight="1">
      <c r="B156" s="67"/>
    </row>
    <row r="157" ht="13.5" customHeight="1">
      <c r="B157" s="67"/>
    </row>
    <row r="158" ht="13.5" customHeight="1">
      <c r="B158" s="67"/>
    </row>
    <row r="159" ht="13.5" customHeight="1">
      <c r="B159" s="67"/>
    </row>
    <row r="160" ht="13.5" customHeight="1">
      <c r="B160" s="67"/>
    </row>
    <row r="161" ht="13.5" customHeight="1">
      <c r="B161" s="67"/>
    </row>
    <row r="162" ht="13.5" customHeight="1">
      <c r="B162" s="67"/>
    </row>
    <row r="163" ht="13.5" customHeight="1">
      <c r="B163" s="67"/>
    </row>
    <row r="164" ht="13.5" customHeight="1">
      <c r="B164" s="67"/>
    </row>
    <row r="165" ht="13.5" customHeight="1">
      <c r="B165" s="67"/>
    </row>
    <row r="166" ht="13.5" customHeight="1">
      <c r="B166" s="67"/>
    </row>
    <row r="167" ht="13.5" customHeight="1">
      <c r="B167" s="67"/>
    </row>
    <row r="168" ht="13.5" customHeight="1">
      <c r="B168" s="67"/>
    </row>
    <row r="169" ht="13.5" customHeight="1">
      <c r="B169" s="67"/>
    </row>
    <row r="170" ht="13.5" customHeight="1">
      <c r="B170" s="67"/>
    </row>
    <row r="171" ht="13.5" customHeight="1">
      <c r="B171" s="67"/>
    </row>
    <row r="172" ht="13.5" customHeight="1">
      <c r="B172" s="67"/>
    </row>
    <row r="173" ht="13.5" customHeight="1">
      <c r="B173" s="67"/>
    </row>
    <row r="174" ht="13.5" customHeight="1">
      <c r="B174" s="67"/>
    </row>
    <row r="175" ht="13.5" customHeight="1">
      <c r="B175" s="67"/>
    </row>
    <row r="176" ht="13.5" customHeight="1">
      <c r="B176" s="67"/>
    </row>
    <row r="177" ht="13.5" customHeight="1">
      <c r="B177" s="67"/>
    </row>
    <row r="178" ht="13.5" customHeight="1">
      <c r="B178" s="67"/>
    </row>
    <row r="179" ht="13.5" customHeight="1">
      <c r="B179" s="67"/>
    </row>
    <row r="180" ht="13.5" customHeight="1">
      <c r="B180" s="67"/>
    </row>
    <row r="181" ht="13.5" customHeight="1">
      <c r="B181" s="67"/>
    </row>
    <row r="182" ht="13.5" customHeight="1">
      <c r="B182" s="67"/>
    </row>
    <row r="183" ht="13.5" customHeight="1">
      <c r="B183" s="67"/>
    </row>
    <row r="184" ht="13.5" customHeight="1">
      <c r="B184" s="67"/>
    </row>
    <row r="185" ht="13.5" customHeight="1">
      <c r="B185" s="67"/>
    </row>
    <row r="186" ht="13.5" customHeight="1">
      <c r="B186" s="67"/>
    </row>
    <row r="187" ht="13.5" customHeight="1">
      <c r="B187" s="67"/>
    </row>
    <row r="188" ht="13.5" customHeight="1">
      <c r="B188" s="67"/>
    </row>
    <row r="189" ht="13.5" customHeight="1">
      <c r="B189" s="67"/>
    </row>
    <row r="190" ht="13.5" customHeight="1">
      <c r="B190" s="67"/>
    </row>
    <row r="191" ht="13.5" customHeight="1">
      <c r="B191" s="67"/>
    </row>
    <row r="192" ht="13.5" customHeight="1">
      <c r="B192" s="67"/>
    </row>
    <row r="193" ht="13.5" customHeight="1">
      <c r="B193" s="67"/>
    </row>
    <row r="194" ht="13.5" customHeight="1">
      <c r="B194" s="67"/>
    </row>
    <row r="195" ht="13.5" customHeight="1">
      <c r="B195" s="67"/>
    </row>
    <row r="196" ht="13.5" customHeight="1">
      <c r="B196" s="67"/>
    </row>
    <row r="197" ht="13.5" customHeight="1">
      <c r="B197" s="67"/>
    </row>
    <row r="198" ht="13.5" customHeight="1">
      <c r="B198" s="67"/>
    </row>
    <row r="199" ht="13.5" customHeight="1">
      <c r="B199" s="67"/>
    </row>
    <row r="200" ht="13.5" customHeight="1">
      <c r="B200" s="67"/>
    </row>
    <row r="201" ht="13.5" customHeight="1">
      <c r="B201" s="67"/>
    </row>
    <row r="202" ht="13.5" customHeight="1">
      <c r="B202" s="67"/>
    </row>
    <row r="203" ht="13.5" customHeight="1">
      <c r="B203" s="67"/>
    </row>
    <row r="204" ht="13.5" customHeight="1">
      <c r="B204" s="67"/>
    </row>
    <row r="205" ht="13.5" customHeight="1">
      <c r="B205" s="67"/>
    </row>
    <row r="206" ht="13.5" customHeight="1">
      <c r="B206" s="67"/>
    </row>
    <row r="207" ht="13.5" customHeight="1">
      <c r="B207" s="67"/>
    </row>
    <row r="208" ht="13.5" customHeight="1">
      <c r="B208" s="67"/>
    </row>
    <row r="209" ht="13.5" customHeight="1">
      <c r="B209" s="67"/>
    </row>
    <row r="210" ht="13.5" customHeight="1">
      <c r="B210" s="67"/>
    </row>
    <row r="211" ht="13.5" customHeight="1">
      <c r="B211" s="67"/>
    </row>
    <row r="212" ht="13.5" customHeight="1">
      <c r="B212" s="67"/>
    </row>
    <row r="213" ht="13.5" customHeight="1">
      <c r="B213" s="67"/>
    </row>
    <row r="214" ht="13.5" customHeight="1">
      <c r="B214" s="67"/>
    </row>
    <row r="215" ht="13.5" customHeight="1">
      <c r="B215" s="67"/>
    </row>
    <row r="216" ht="13.5" customHeight="1">
      <c r="B216" s="67"/>
    </row>
    <row r="217" ht="13.5" customHeight="1">
      <c r="B217" s="67"/>
    </row>
    <row r="218" ht="13.5" customHeight="1">
      <c r="B218" s="67"/>
    </row>
    <row r="219" ht="13.5" customHeight="1">
      <c r="B219" s="67"/>
    </row>
    <row r="220" ht="13.5" customHeight="1">
      <c r="B220" s="67"/>
    </row>
    <row r="221" ht="13.5" customHeight="1">
      <c r="B221" s="67"/>
    </row>
    <row r="222" ht="13.5" customHeight="1">
      <c r="B222" s="67"/>
    </row>
    <row r="223" ht="13.5" customHeight="1">
      <c r="B223" s="67"/>
    </row>
    <row r="224" ht="13.5" customHeight="1">
      <c r="B224" s="67"/>
    </row>
    <row r="225" ht="13.5" customHeight="1">
      <c r="B225" s="67"/>
    </row>
    <row r="226" ht="13.5" customHeight="1">
      <c r="B226" s="67"/>
    </row>
    <row r="227" ht="13.5" customHeight="1">
      <c r="B227" s="67"/>
    </row>
    <row r="228" ht="13.5" customHeight="1">
      <c r="B228" s="67"/>
    </row>
    <row r="229" ht="13.5" customHeight="1">
      <c r="B229" s="67"/>
    </row>
    <row r="230" ht="13.5" customHeight="1">
      <c r="B230" s="67"/>
    </row>
    <row r="231" ht="13.5" customHeight="1">
      <c r="B231" s="67"/>
    </row>
    <row r="232" ht="13.5" customHeight="1">
      <c r="B232" s="67"/>
    </row>
    <row r="233" ht="13.5" customHeight="1">
      <c r="B233" s="67"/>
    </row>
    <row r="234" ht="13.5" customHeight="1">
      <c r="B234" s="67"/>
    </row>
    <row r="235" ht="13.5" customHeight="1">
      <c r="B235" s="67"/>
    </row>
    <row r="236" ht="13.5" customHeight="1">
      <c r="B236" s="67"/>
    </row>
    <row r="237" ht="13.5" customHeight="1">
      <c r="B237" s="67"/>
    </row>
    <row r="238" ht="13.5" customHeight="1">
      <c r="B238" s="67"/>
    </row>
    <row r="239" ht="13.5" customHeight="1">
      <c r="B239" s="67"/>
    </row>
    <row r="240" ht="13.5" customHeight="1">
      <c r="B240" s="67"/>
    </row>
    <row r="241" ht="13.5" customHeight="1">
      <c r="B241" s="67"/>
    </row>
    <row r="242" ht="13.5" customHeight="1">
      <c r="B242" s="67"/>
    </row>
    <row r="243" ht="13.5" customHeight="1">
      <c r="B243" s="67"/>
    </row>
    <row r="244" ht="13.5" customHeight="1">
      <c r="B244" s="67"/>
    </row>
    <row r="245" ht="13.5" customHeight="1">
      <c r="B245" s="67"/>
    </row>
    <row r="246" ht="13.5" customHeight="1">
      <c r="B246" s="67"/>
    </row>
    <row r="247" ht="13.5" customHeight="1">
      <c r="B247" s="67"/>
    </row>
    <row r="248" ht="13.5" customHeight="1">
      <c r="B248" s="67"/>
    </row>
    <row r="249" ht="13.5" customHeight="1">
      <c r="B249" s="67"/>
    </row>
    <row r="250" ht="13.5" customHeight="1">
      <c r="B250" s="67"/>
    </row>
    <row r="251" ht="13.5" customHeight="1">
      <c r="B251" s="67"/>
    </row>
    <row r="252" ht="13.5" customHeight="1">
      <c r="B252" s="67"/>
    </row>
    <row r="253" ht="13.5" customHeight="1">
      <c r="B253" s="67"/>
    </row>
    <row r="254" ht="13.5" customHeight="1">
      <c r="B254" s="67"/>
    </row>
    <row r="255" ht="13.5" customHeight="1">
      <c r="B255" s="67"/>
    </row>
    <row r="256" ht="13.5" customHeight="1">
      <c r="B256" s="67"/>
    </row>
    <row r="257" ht="13.5" customHeight="1">
      <c r="B257" s="67"/>
    </row>
    <row r="258" ht="13.5" customHeight="1">
      <c r="B258" s="67"/>
    </row>
    <row r="259" ht="13.5" customHeight="1">
      <c r="B259" s="67"/>
    </row>
    <row r="260" ht="13.5" customHeight="1">
      <c r="B260" s="67"/>
    </row>
    <row r="261" ht="13.5" customHeight="1">
      <c r="B261" s="67"/>
    </row>
    <row r="262" ht="13.5" customHeight="1">
      <c r="B262" s="67"/>
    </row>
    <row r="263" ht="13.5" customHeight="1">
      <c r="B263" s="67"/>
    </row>
    <row r="264" ht="13.5" customHeight="1">
      <c r="B264" s="67"/>
    </row>
    <row r="265" ht="13.5" customHeight="1">
      <c r="B265" s="67"/>
    </row>
    <row r="266" ht="13.5" customHeight="1">
      <c r="B266" s="67"/>
    </row>
    <row r="267" ht="13.5" customHeight="1">
      <c r="B267" s="67"/>
    </row>
    <row r="268" ht="13.5" customHeight="1">
      <c r="B268" s="67"/>
    </row>
    <row r="269" ht="13.5" customHeight="1">
      <c r="B269" s="67"/>
    </row>
    <row r="270" ht="13.5" customHeight="1">
      <c r="B270" s="67"/>
    </row>
    <row r="271" ht="13.5" customHeight="1">
      <c r="B271" s="67"/>
    </row>
    <row r="272" ht="13.5" customHeight="1">
      <c r="B272" s="67"/>
    </row>
    <row r="273" ht="13.5" customHeight="1">
      <c r="B273" s="67"/>
    </row>
    <row r="274" ht="13.5" customHeight="1">
      <c r="B274" s="67"/>
    </row>
    <row r="275" ht="13.5" customHeight="1">
      <c r="B275" s="67"/>
    </row>
    <row r="276" ht="13.5" customHeight="1">
      <c r="B276" s="67"/>
    </row>
    <row r="277" ht="13.5" customHeight="1">
      <c r="B277" s="67"/>
    </row>
    <row r="278" ht="13.5" customHeight="1">
      <c r="B278" s="67"/>
    </row>
    <row r="279" ht="13.5" customHeight="1">
      <c r="B279" s="67"/>
    </row>
    <row r="280" ht="13.5" customHeight="1">
      <c r="B280" s="67"/>
    </row>
    <row r="281" ht="13.5" customHeight="1">
      <c r="B281" s="67"/>
    </row>
    <row r="282" ht="13.5" customHeight="1">
      <c r="B282" s="67"/>
    </row>
    <row r="283" ht="13.5" customHeight="1">
      <c r="B283" s="67"/>
    </row>
    <row r="284" ht="13.5" customHeight="1">
      <c r="B284" s="67"/>
    </row>
    <row r="285" ht="13.5" customHeight="1">
      <c r="B285" s="67"/>
    </row>
    <row r="286" ht="13.5" customHeight="1">
      <c r="B286" s="67"/>
    </row>
    <row r="287" ht="13.5" customHeight="1">
      <c r="B287" s="67"/>
    </row>
    <row r="288" ht="13.5" customHeight="1">
      <c r="B288" s="67"/>
    </row>
    <row r="289" ht="13.5" customHeight="1">
      <c r="B289" s="67"/>
    </row>
    <row r="290" ht="13.5" customHeight="1">
      <c r="B290" s="67"/>
    </row>
    <row r="291" ht="13.5" customHeight="1">
      <c r="B291" s="67"/>
    </row>
    <row r="292" ht="13.5" customHeight="1">
      <c r="B292" s="67"/>
    </row>
    <row r="293" ht="13.5" customHeight="1">
      <c r="B293" s="67"/>
    </row>
    <row r="294" ht="13.5" customHeight="1">
      <c r="B294" s="67"/>
    </row>
    <row r="295" ht="13.5" customHeight="1">
      <c r="B295" s="67"/>
    </row>
    <row r="296" ht="13.5" customHeight="1">
      <c r="B296" s="67"/>
    </row>
    <row r="297" ht="13.5" customHeight="1">
      <c r="B297" s="67"/>
    </row>
    <row r="298" ht="13.5" customHeight="1">
      <c r="B298" s="67"/>
    </row>
    <row r="299" ht="13.5" customHeight="1">
      <c r="B299" s="67"/>
    </row>
    <row r="300" ht="13.5" customHeight="1">
      <c r="B300" s="67"/>
    </row>
    <row r="301" ht="13.5" customHeight="1">
      <c r="B301" s="67"/>
    </row>
    <row r="302" ht="13.5" customHeight="1">
      <c r="B302" s="67"/>
    </row>
    <row r="303" ht="13.5" customHeight="1">
      <c r="B303" s="67"/>
    </row>
    <row r="304" ht="13.5" customHeight="1">
      <c r="B304" s="67"/>
    </row>
    <row r="305" ht="13.5" customHeight="1">
      <c r="B305" s="67"/>
    </row>
    <row r="306" ht="13.5" customHeight="1">
      <c r="B306" s="67"/>
    </row>
    <row r="307" ht="13.5" customHeight="1">
      <c r="B307" s="67"/>
    </row>
    <row r="308" ht="13.5" customHeight="1">
      <c r="B308" s="67"/>
    </row>
    <row r="309" ht="13.5" customHeight="1">
      <c r="B309" s="67"/>
    </row>
    <row r="310" ht="13.5" customHeight="1">
      <c r="B310" s="67"/>
    </row>
    <row r="311" ht="13.5" customHeight="1">
      <c r="B311" s="67"/>
    </row>
    <row r="312" ht="13.5" customHeight="1">
      <c r="B312" s="67"/>
    </row>
    <row r="313" ht="13.5" customHeight="1">
      <c r="B313" s="67"/>
    </row>
    <row r="314" ht="13.5" customHeight="1">
      <c r="B314" s="67"/>
    </row>
    <row r="315" ht="13.5" customHeight="1">
      <c r="B315" s="67"/>
    </row>
    <row r="316" ht="13.5" customHeight="1">
      <c r="B316" s="67"/>
    </row>
    <row r="317" ht="13.5" customHeight="1">
      <c r="B317" s="67"/>
    </row>
    <row r="318" ht="13.5" customHeight="1">
      <c r="B318" s="67"/>
    </row>
    <row r="319" ht="13.5" customHeight="1">
      <c r="B319" s="67"/>
    </row>
    <row r="320" ht="13.5" customHeight="1">
      <c r="B320" s="67"/>
    </row>
    <row r="321" ht="13.5" customHeight="1">
      <c r="B321" s="67"/>
    </row>
    <row r="322" ht="13.5" customHeight="1">
      <c r="B322" s="67"/>
    </row>
    <row r="323" ht="13.5" customHeight="1">
      <c r="B323" s="67"/>
    </row>
    <row r="324" ht="13.5" customHeight="1">
      <c r="B324" s="67"/>
    </row>
    <row r="325" ht="13.5" customHeight="1">
      <c r="B325" s="67"/>
    </row>
    <row r="326" ht="13.5" customHeight="1">
      <c r="B326" s="67"/>
    </row>
    <row r="327" ht="13.5" customHeight="1">
      <c r="B327" s="67"/>
    </row>
    <row r="328" ht="13.5" customHeight="1">
      <c r="B328" s="67"/>
    </row>
    <row r="329" ht="13.5" customHeight="1">
      <c r="B329" s="67"/>
    </row>
    <row r="330" ht="13.5" customHeight="1">
      <c r="B330" s="67"/>
    </row>
    <row r="331" ht="13.5" customHeight="1">
      <c r="B331" s="67"/>
    </row>
    <row r="332" ht="13.5" customHeight="1">
      <c r="B332" s="67"/>
    </row>
    <row r="333" ht="13.5" customHeight="1">
      <c r="B333" s="67"/>
    </row>
    <row r="334" ht="13.5" customHeight="1">
      <c r="B334" s="67"/>
    </row>
    <row r="335" ht="13.5" customHeight="1">
      <c r="B335" s="67"/>
    </row>
    <row r="336" ht="13.5" customHeight="1">
      <c r="B336" s="67"/>
    </row>
    <row r="337" ht="13.5" customHeight="1">
      <c r="B337" s="67"/>
    </row>
    <row r="338" ht="13.5" customHeight="1">
      <c r="B338" s="67"/>
    </row>
    <row r="339" ht="13.5" customHeight="1">
      <c r="B339" s="67"/>
    </row>
    <row r="340" ht="13.5" customHeight="1">
      <c r="B340" s="67"/>
    </row>
    <row r="341" ht="13.5" customHeight="1">
      <c r="B341" s="67"/>
    </row>
    <row r="342" ht="13.5" customHeight="1">
      <c r="B342" s="67"/>
    </row>
    <row r="343" ht="13.5" customHeight="1">
      <c r="B343" s="67"/>
    </row>
    <row r="344" ht="13.5" customHeight="1">
      <c r="B344" s="67"/>
    </row>
    <row r="345" ht="13.5" customHeight="1">
      <c r="B345" s="67"/>
    </row>
    <row r="346" ht="13.5" customHeight="1">
      <c r="B346" s="67"/>
    </row>
    <row r="347" ht="13.5" customHeight="1">
      <c r="B347" s="67"/>
    </row>
    <row r="348" ht="13.5" customHeight="1">
      <c r="B348" s="67"/>
    </row>
    <row r="349" ht="13.5" customHeight="1">
      <c r="B349" s="67"/>
    </row>
    <row r="350" ht="13.5" customHeight="1">
      <c r="B350" s="67"/>
    </row>
    <row r="351" ht="13.5" customHeight="1">
      <c r="B351" s="67"/>
    </row>
    <row r="352" ht="13.5" customHeight="1">
      <c r="B352" s="67"/>
    </row>
    <row r="353" ht="13.5" customHeight="1">
      <c r="B353" s="67"/>
    </row>
    <row r="354" ht="13.5" customHeight="1">
      <c r="B354" s="67"/>
    </row>
    <row r="355" ht="13.5" customHeight="1">
      <c r="B355" s="67"/>
    </row>
    <row r="356" ht="13.5" customHeight="1">
      <c r="B356" s="67"/>
    </row>
    <row r="357" ht="13.5" customHeight="1">
      <c r="B357" s="67"/>
    </row>
    <row r="358" ht="13.5" customHeight="1">
      <c r="B358" s="67"/>
    </row>
    <row r="359" ht="13.5" customHeight="1">
      <c r="B359" s="67"/>
    </row>
    <row r="360" ht="13.5" customHeight="1">
      <c r="B360" s="67"/>
    </row>
    <row r="361" ht="13.5" customHeight="1">
      <c r="B361" s="67"/>
    </row>
    <row r="362" ht="13.5" customHeight="1">
      <c r="B362" s="67"/>
    </row>
    <row r="363" ht="13.5" customHeight="1">
      <c r="B363" s="67"/>
    </row>
    <row r="364" ht="13.5" customHeight="1">
      <c r="B364" s="67"/>
    </row>
    <row r="365" ht="13.5" customHeight="1">
      <c r="B365" s="67"/>
    </row>
    <row r="366" ht="13.5" customHeight="1">
      <c r="B366" s="67"/>
    </row>
    <row r="367" ht="13.5" customHeight="1">
      <c r="B367" s="67"/>
    </row>
    <row r="368" ht="13.5" customHeight="1">
      <c r="B368" s="67"/>
    </row>
    <row r="369" ht="13.5" customHeight="1">
      <c r="B369" s="67"/>
    </row>
    <row r="370" ht="13.5" customHeight="1">
      <c r="B370" s="67"/>
    </row>
    <row r="371" ht="13.5" customHeight="1">
      <c r="B371" s="67"/>
    </row>
    <row r="372" ht="13.5" customHeight="1">
      <c r="B372" s="67"/>
    </row>
    <row r="373" ht="13.5" customHeight="1">
      <c r="B373" s="67"/>
    </row>
    <row r="374" ht="13.5" customHeight="1">
      <c r="B374" s="67"/>
    </row>
    <row r="375" ht="13.5" customHeight="1">
      <c r="B375" s="67"/>
    </row>
    <row r="376" ht="13.5" customHeight="1">
      <c r="B376" s="67"/>
    </row>
    <row r="377" ht="13.5" customHeight="1">
      <c r="B377" s="67"/>
    </row>
    <row r="378" ht="13.5" customHeight="1">
      <c r="B378" s="67"/>
    </row>
    <row r="379" ht="13.5" customHeight="1">
      <c r="B379" s="67"/>
    </row>
    <row r="380" ht="13.5" customHeight="1">
      <c r="B380" s="67"/>
    </row>
    <row r="381" ht="13.5" customHeight="1">
      <c r="B381" s="67"/>
    </row>
    <row r="382" ht="13.5" customHeight="1">
      <c r="B382" s="67"/>
    </row>
    <row r="383" ht="13.5" customHeight="1">
      <c r="B383" s="67"/>
    </row>
    <row r="384" ht="13.5" customHeight="1">
      <c r="B384" s="67"/>
    </row>
    <row r="385" ht="13.5" customHeight="1">
      <c r="B385" s="67"/>
    </row>
    <row r="386" ht="13.5" customHeight="1">
      <c r="B386" s="67"/>
    </row>
    <row r="387" ht="13.5" customHeight="1">
      <c r="B387" s="67"/>
    </row>
    <row r="388" ht="13.5" customHeight="1">
      <c r="B388" s="67"/>
    </row>
    <row r="389" ht="13.5" customHeight="1">
      <c r="B389" s="67"/>
    </row>
    <row r="390" ht="13.5" customHeight="1">
      <c r="B390" s="67"/>
    </row>
    <row r="391" ht="13.5" customHeight="1">
      <c r="B391" s="67"/>
    </row>
    <row r="392" ht="13.5" customHeight="1">
      <c r="B392" s="67"/>
    </row>
    <row r="393" ht="13.5" customHeight="1">
      <c r="B393" s="67"/>
    </row>
    <row r="394" ht="13.5" customHeight="1">
      <c r="B394" s="67"/>
    </row>
    <row r="395" ht="13.5" customHeight="1">
      <c r="B395" s="67"/>
    </row>
    <row r="396" ht="13.5" customHeight="1">
      <c r="B396" s="67"/>
    </row>
    <row r="397" ht="13.5" customHeight="1">
      <c r="B397" s="67"/>
    </row>
    <row r="398" ht="13.5" customHeight="1">
      <c r="B398" s="67"/>
    </row>
    <row r="399" ht="13.5" customHeight="1">
      <c r="B399" s="67"/>
    </row>
    <row r="400" ht="13.5" customHeight="1">
      <c r="B400" s="67"/>
    </row>
    <row r="401" ht="13.5" customHeight="1">
      <c r="B401" s="67"/>
    </row>
    <row r="402" ht="13.5" customHeight="1">
      <c r="B402" s="67"/>
    </row>
    <row r="403" ht="13.5" customHeight="1">
      <c r="B403" s="67"/>
    </row>
    <row r="404" ht="13.5" customHeight="1">
      <c r="B404" s="67"/>
    </row>
    <row r="405" ht="13.5" customHeight="1">
      <c r="B405" s="67"/>
    </row>
    <row r="406" ht="13.5" customHeight="1">
      <c r="B406" s="67"/>
    </row>
    <row r="407" ht="13.5" customHeight="1">
      <c r="B407" s="67"/>
    </row>
    <row r="408" ht="13.5" customHeight="1">
      <c r="B408" s="67"/>
    </row>
    <row r="409" ht="13.5" customHeight="1">
      <c r="B409" s="67"/>
    </row>
    <row r="410" ht="13.5" customHeight="1">
      <c r="B410" s="67"/>
    </row>
    <row r="411" ht="13.5" customHeight="1">
      <c r="B411" s="67"/>
    </row>
    <row r="412" ht="13.5" customHeight="1">
      <c r="B412" s="67"/>
    </row>
    <row r="413" ht="13.5" customHeight="1">
      <c r="B413" s="67"/>
    </row>
    <row r="414" ht="13.5" customHeight="1">
      <c r="B414" s="67"/>
    </row>
    <row r="415" ht="13.5" customHeight="1">
      <c r="B415" s="67"/>
    </row>
    <row r="416" ht="13.5" customHeight="1">
      <c r="B416" s="67"/>
    </row>
    <row r="417" ht="13.5" customHeight="1">
      <c r="B417" s="67"/>
    </row>
    <row r="418" ht="13.5" customHeight="1">
      <c r="B418" s="67"/>
    </row>
    <row r="419" ht="13.5" customHeight="1">
      <c r="B419" s="67"/>
    </row>
    <row r="420" ht="13.5" customHeight="1">
      <c r="B420" s="67"/>
    </row>
    <row r="421" ht="13.5" customHeight="1">
      <c r="B421" s="67"/>
    </row>
    <row r="422" ht="13.5" customHeight="1">
      <c r="B422" s="67"/>
    </row>
    <row r="423" ht="13.5" customHeight="1">
      <c r="B423" s="67"/>
    </row>
    <row r="424" ht="13.5" customHeight="1">
      <c r="B424" s="67"/>
    </row>
    <row r="425" ht="13.5" customHeight="1">
      <c r="B425" s="67"/>
    </row>
    <row r="426" ht="13.5" customHeight="1">
      <c r="B426" s="67"/>
    </row>
    <row r="427" ht="13.5" customHeight="1">
      <c r="B427" s="67"/>
    </row>
    <row r="428" ht="13.5" customHeight="1">
      <c r="B428" s="67"/>
    </row>
    <row r="429" ht="13.5" customHeight="1">
      <c r="B429" s="67"/>
    </row>
    <row r="430" ht="13.5" customHeight="1">
      <c r="B430" s="67"/>
    </row>
    <row r="431" ht="13.5" customHeight="1">
      <c r="B431" s="67"/>
    </row>
    <row r="432" ht="13.5" customHeight="1">
      <c r="B432" s="67"/>
    </row>
    <row r="433" ht="13.5" customHeight="1">
      <c r="B433" s="67"/>
    </row>
    <row r="434" ht="13.5" customHeight="1">
      <c r="B434" s="67"/>
    </row>
    <row r="435" ht="13.5" customHeight="1">
      <c r="B435" s="67"/>
    </row>
    <row r="436" ht="13.5" customHeight="1">
      <c r="B436" s="67"/>
    </row>
    <row r="437" ht="13.5" customHeight="1">
      <c r="B437" s="67"/>
    </row>
    <row r="438" ht="13.5" customHeight="1">
      <c r="B438" s="67"/>
    </row>
    <row r="439" ht="13.5" customHeight="1">
      <c r="B439" s="67"/>
    </row>
    <row r="440" ht="13.5" customHeight="1">
      <c r="B440" s="67"/>
    </row>
    <row r="441" ht="13.5" customHeight="1">
      <c r="B441" s="67"/>
    </row>
    <row r="442" ht="13.5" customHeight="1">
      <c r="B442" s="67"/>
    </row>
    <row r="443" ht="13.5" customHeight="1">
      <c r="B443" s="67"/>
    </row>
    <row r="444" ht="13.5" customHeight="1">
      <c r="B444" s="67"/>
    </row>
    <row r="445" ht="13.5" customHeight="1">
      <c r="B445" s="67"/>
    </row>
    <row r="446" ht="13.5" customHeight="1">
      <c r="B446" s="67"/>
    </row>
    <row r="447" ht="13.5" customHeight="1">
      <c r="B447" s="67"/>
    </row>
    <row r="448" ht="13.5" customHeight="1">
      <c r="B448" s="67"/>
    </row>
    <row r="449" ht="13.5" customHeight="1">
      <c r="B449" s="67"/>
    </row>
    <row r="450" ht="13.5" customHeight="1">
      <c r="B450" s="67"/>
    </row>
    <row r="451" ht="13.5" customHeight="1">
      <c r="B451" s="67"/>
    </row>
    <row r="452" ht="13.5" customHeight="1">
      <c r="B452" s="67"/>
    </row>
    <row r="453" ht="13.5" customHeight="1">
      <c r="B453" s="67"/>
    </row>
    <row r="454" ht="13.5" customHeight="1">
      <c r="B454" s="67"/>
    </row>
    <row r="455" ht="13.5" customHeight="1">
      <c r="B455" s="67"/>
    </row>
    <row r="456" ht="13.5" customHeight="1">
      <c r="B456" s="67"/>
    </row>
    <row r="457" ht="13.5" customHeight="1">
      <c r="B457" s="67"/>
    </row>
    <row r="458" ht="13.5" customHeight="1">
      <c r="B458" s="67"/>
    </row>
    <row r="459" ht="13.5" customHeight="1">
      <c r="B459" s="67"/>
    </row>
    <row r="460" ht="13.5" customHeight="1">
      <c r="B460" s="67"/>
    </row>
    <row r="461" ht="13.5" customHeight="1">
      <c r="B461" s="67"/>
    </row>
    <row r="462" ht="13.5" customHeight="1">
      <c r="B462" s="67"/>
    </row>
    <row r="463" ht="13.5" customHeight="1">
      <c r="B463" s="67"/>
    </row>
    <row r="464" ht="13.5" customHeight="1">
      <c r="B464" s="67"/>
    </row>
    <row r="465" ht="13.5" customHeight="1">
      <c r="B465" s="67"/>
    </row>
    <row r="466" ht="13.5" customHeight="1">
      <c r="B466" s="67"/>
    </row>
    <row r="467" ht="13.5" customHeight="1">
      <c r="B467" s="67"/>
    </row>
    <row r="468" ht="13.5" customHeight="1">
      <c r="B468" s="67"/>
    </row>
    <row r="469" ht="13.5" customHeight="1">
      <c r="B469" s="67"/>
    </row>
    <row r="470" ht="13.5" customHeight="1">
      <c r="B470" s="67"/>
    </row>
    <row r="471" ht="13.5" customHeight="1">
      <c r="B471" s="67"/>
    </row>
    <row r="472" ht="13.5" customHeight="1">
      <c r="B472" s="67"/>
    </row>
    <row r="473" ht="13.5" customHeight="1">
      <c r="B473" s="67"/>
    </row>
    <row r="474" ht="13.5" customHeight="1">
      <c r="B474" s="67"/>
    </row>
    <row r="475" ht="13.5" customHeight="1">
      <c r="B475" s="67"/>
    </row>
    <row r="476" ht="13.5" customHeight="1">
      <c r="B476" s="67"/>
    </row>
    <row r="477" ht="13.5" customHeight="1">
      <c r="B477" s="67"/>
    </row>
    <row r="478" ht="13.5" customHeight="1">
      <c r="B478" s="67"/>
    </row>
    <row r="479" ht="13.5" customHeight="1">
      <c r="B479" s="67"/>
    </row>
    <row r="480" ht="13.5" customHeight="1">
      <c r="B480" s="67"/>
    </row>
    <row r="481" ht="13.5" customHeight="1">
      <c r="B481" s="67"/>
    </row>
    <row r="482" ht="13.5" customHeight="1">
      <c r="B482" s="67"/>
    </row>
    <row r="483" ht="13.5" customHeight="1">
      <c r="B483" s="67"/>
    </row>
    <row r="484" ht="13.5" customHeight="1">
      <c r="B484" s="67"/>
    </row>
    <row r="485" ht="13.5" customHeight="1">
      <c r="B485" s="67"/>
    </row>
    <row r="486" ht="13.5" customHeight="1">
      <c r="B486" s="67"/>
    </row>
    <row r="487" ht="13.5" customHeight="1">
      <c r="B487" s="67"/>
    </row>
    <row r="488" ht="13.5" customHeight="1">
      <c r="B488" s="67"/>
    </row>
    <row r="489" ht="13.5" customHeight="1">
      <c r="B489" s="67"/>
    </row>
    <row r="490" ht="13.5" customHeight="1">
      <c r="B490" s="67"/>
    </row>
    <row r="491" ht="13.5" customHeight="1">
      <c r="B491" s="67"/>
    </row>
    <row r="492" ht="13.5" customHeight="1">
      <c r="B492" s="67"/>
    </row>
    <row r="493" ht="13.5" customHeight="1">
      <c r="B493" s="67"/>
    </row>
    <row r="494" ht="13.5" customHeight="1">
      <c r="B494" s="67"/>
    </row>
    <row r="495" ht="13.5" customHeight="1">
      <c r="B495" s="67"/>
    </row>
    <row r="496" ht="13.5" customHeight="1">
      <c r="B496" s="67"/>
    </row>
    <row r="497" ht="13.5" customHeight="1">
      <c r="B497" s="67"/>
    </row>
    <row r="498" ht="13.5" customHeight="1">
      <c r="B498" s="67"/>
    </row>
    <row r="499" ht="13.5" customHeight="1">
      <c r="B499" s="67"/>
    </row>
    <row r="500" ht="13.5" customHeight="1">
      <c r="B500" s="67"/>
    </row>
    <row r="501" ht="13.5" customHeight="1">
      <c r="B501" s="67"/>
    </row>
    <row r="502" ht="13.5" customHeight="1">
      <c r="B502" s="67"/>
    </row>
    <row r="503" ht="13.5" customHeight="1">
      <c r="B503" s="67"/>
    </row>
    <row r="504" ht="13.5" customHeight="1">
      <c r="B504" s="67"/>
    </row>
    <row r="505" ht="13.5" customHeight="1">
      <c r="B505" s="67"/>
    </row>
    <row r="506" ht="13.5" customHeight="1">
      <c r="B506" s="67"/>
    </row>
    <row r="507" ht="13.5" customHeight="1">
      <c r="B507" s="67"/>
    </row>
    <row r="508" ht="13.5" customHeight="1">
      <c r="B508" s="67"/>
    </row>
    <row r="509" ht="13.5" customHeight="1">
      <c r="B509" s="67"/>
    </row>
    <row r="510" ht="13.5" customHeight="1">
      <c r="B510" s="67"/>
    </row>
    <row r="511" ht="13.5" customHeight="1">
      <c r="B511" s="67"/>
    </row>
    <row r="512" ht="13.5" customHeight="1">
      <c r="B512" s="67"/>
    </row>
    <row r="513" ht="13.5" customHeight="1">
      <c r="B513" s="67"/>
    </row>
    <row r="514" ht="13.5" customHeight="1">
      <c r="B514" s="67"/>
    </row>
    <row r="515" ht="13.5" customHeight="1">
      <c r="B515" s="67"/>
    </row>
    <row r="516" ht="13.5" customHeight="1">
      <c r="B516" s="67"/>
    </row>
    <row r="517" ht="13.5" customHeight="1">
      <c r="B517" s="67"/>
    </row>
    <row r="518" ht="13.5" customHeight="1">
      <c r="B518" s="67"/>
    </row>
    <row r="519" ht="13.5" customHeight="1">
      <c r="B519" s="67"/>
    </row>
    <row r="520" ht="13.5" customHeight="1">
      <c r="B520" s="67"/>
    </row>
    <row r="521" ht="13.5" customHeight="1">
      <c r="B521" s="67"/>
    </row>
    <row r="522" ht="13.5" customHeight="1">
      <c r="B522" s="67"/>
    </row>
    <row r="523" ht="13.5" customHeight="1">
      <c r="B523" s="67"/>
    </row>
    <row r="524" ht="13.5" customHeight="1">
      <c r="B524" s="67"/>
    </row>
    <row r="525" ht="13.5" customHeight="1">
      <c r="B525" s="67"/>
    </row>
    <row r="526" ht="13.5" customHeight="1">
      <c r="B526" s="67"/>
    </row>
    <row r="527" ht="13.5" customHeight="1">
      <c r="B527" s="67"/>
    </row>
    <row r="528" ht="13.5" customHeight="1">
      <c r="B528" s="67"/>
    </row>
    <row r="529" ht="13.5" customHeight="1">
      <c r="B529" s="67"/>
    </row>
    <row r="530" ht="13.5" customHeight="1">
      <c r="B530" s="67"/>
    </row>
    <row r="531" ht="13.5" customHeight="1">
      <c r="B531" s="67"/>
    </row>
    <row r="532" ht="13.5" customHeight="1">
      <c r="B532" s="67"/>
    </row>
    <row r="533" ht="13.5" customHeight="1">
      <c r="B533" s="67"/>
    </row>
    <row r="534" ht="13.5" customHeight="1">
      <c r="B534" s="67"/>
    </row>
    <row r="535" ht="13.5" customHeight="1">
      <c r="B535" s="67"/>
    </row>
    <row r="536" ht="13.5" customHeight="1">
      <c r="B536" s="67"/>
    </row>
    <row r="537" ht="13.5" customHeight="1">
      <c r="B537" s="67"/>
    </row>
    <row r="538" ht="13.5" customHeight="1">
      <c r="B538" s="67"/>
    </row>
    <row r="539" ht="13.5" customHeight="1">
      <c r="B539" s="67"/>
    </row>
    <row r="540" ht="13.5" customHeight="1">
      <c r="B540" s="67"/>
    </row>
    <row r="541" ht="13.5" customHeight="1">
      <c r="B541" s="67"/>
    </row>
    <row r="542" ht="13.5" customHeight="1">
      <c r="B542" s="67"/>
    </row>
    <row r="543" ht="13.5" customHeight="1">
      <c r="B543" s="67"/>
    </row>
    <row r="544" ht="13.5" customHeight="1">
      <c r="B544" s="67"/>
    </row>
    <row r="545" ht="13.5" customHeight="1">
      <c r="B545" s="67"/>
    </row>
    <row r="546" ht="13.5" customHeight="1">
      <c r="B546" s="67"/>
    </row>
    <row r="547" ht="13.5" customHeight="1">
      <c r="B547" s="67"/>
    </row>
    <row r="548" ht="13.5" customHeight="1">
      <c r="B548" s="67"/>
    </row>
    <row r="549" ht="13.5" customHeight="1">
      <c r="B549" s="67"/>
    </row>
    <row r="550" ht="13.5" customHeight="1">
      <c r="B550" s="67"/>
    </row>
    <row r="551" ht="13.5" customHeight="1">
      <c r="B551" s="67"/>
    </row>
    <row r="552" ht="13.5" customHeight="1">
      <c r="B552" s="67"/>
    </row>
    <row r="553" ht="13.5" customHeight="1">
      <c r="B553" s="67"/>
    </row>
    <row r="554" ht="13.5" customHeight="1">
      <c r="B554" s="67"/>
    </row>
    <row r="555" ht="13.5" customHeight="1">
      <c r="B555" s="67"/>
    </row>
    <row r="556" ht="13.5" customHeight="1">
      <c r="B556" s="67"/>
    </row>
    <row r="557" ht="13.5" customHeight="1">
      <c r="B557" s="67"/>
    </row>
    <row r="558" ht="13.5" customHeight="1">
      <c r="B558" s="67"/>
    </row>
    <row r="559" ht="13.5" customHeight="1">
      <c r="B559" s="67"/>
    </row>
    <row r="560" ht="13.5" customHeight="1">
      <c r="B560" s="67"/>
    </row>
    <row r="561" ht="13.5" customHeight="1">
      <c r="B561" s="67"/>
    </row>
    <row r="562" ht="13.5" customHeight="1">
      <c r="B562" s="67"/>
    </row>
    <row r="563" ht="13.5" customHeight="1">
      <c r="B563" s="67"/>
    </row>
    <row r="564" ht="13.5" customHeight="1">
      <c r="B564" s="67"/>
    </row>
    <row r="565" ht="13.5" customHeight="1">
      <c r="B565" s="67"/>
    </row>
    <row r="566" ht="13.5" customHeight="1">
      <c r="B566" s="67"/>
    </row>
    <row r="567" ht="13.5" customHeight="1">
      <c r="B567" s="67"/>
    </row>
    <row r="568" ht="13.5" customHeight="1">
      <c r="B568" s="67"/>
    </row>
    <row r="569" ht="13.5" customHeight="1">
      <c r="B569" s="67"/>
    </row>
    <row r="570" ht="13.5" customHeight="1">
      <c r="B570" s="67"/>
    </row>
    <row r="571" ht="13.5" customHeight="1">
      <c r="B571" s="67"/>
    </row>
    <row r="572" ht="13.5" customHeight="1">
      <c r="B572" s="67"/>
    </row>
    <row r="573" ht="13.5" customHeight="1">
      <c r="B573" s="67"/>
    </row>
    <row r="574" ht="13.5" customHeight="1">
      <c r="B574" s="67"/>
    </row>
    <row r="575" ht="13.5" customHeight="1">
      <c r="B575" s="67"/>
    </row>
    <row r="576" ht="13.5" customHeight="1">
      <c r="B576" s="67"/>
    </row>
    <row r="577" ht="13.5" customHeight="1">
      <c r="B577" s="67"/>
    </row>
    <row r="578" ht="13.5" customHeight="1">
      <c r="B578" s="67"/>
    </row>
    <row r="579" ht="13.5" customHeight="1">
      <c r="B579" s="67"/>
    </row>
    <row r="580" ht="13.5" customHeight="1">
      <c r="B580" s="67"/>
    </row>
    <row r="581" ht="13.5" customHeight="1">
      <c r="B581" s="67"/>
    </row>
    <row r="582" ht="13.5" customHeight="1">
      <c r="B582" s="67"/>
    </row>
    <row r="583" ht="13.5" customHeight="1">
      <c r="B583" s="67"/>
    </row>
    <row r="584" ht="13.5" customHeight="1">
      <c r="B584" s="67"/>
    </row>
    <row r="585" ht="13.5" customHeight="1">
      <c r="B585" s="67"/>
    </row>
    <row r="586" ht="13.5" customHeight="1">
      <c r="B586" s="67"/>
    </row>
    <row r="587" ht="13.5" customHeight="1">
      <c r="B587" s="67"/>
    </row>
    <row r="588" ht="13.5" customHeight="1">
      <c r="B588" s="67"/>
    </row>
    <row r="589" ht="13.5" customHeight="1">
      <c r="B589" s="67"/>
    </row>
    <row r="590" ht="13.5" customHeight="1">
      <c r="B590" s="67"/>
    </row>
    <row r="591" ht="13.5" customHeight="1">
      <c r="B591" s="67"/>
    </row>
    <row r="592" ht="13.5" customHeight="1">
      <c r="B592" s="67"/>
    </row>
    <row r="593" ht="13.5" customHeight="1">
      <c r="B593" s="67"/>
    </row>
    <row r="594" ht="13.5" customHeight="1">
      <c r="B594" s="67"/>
    </row>
    <row r="595" ht="13.5" customHeight="1">
      <c r="B595" s="67"/>
    </row>
    <row r="596" ht="13.5" customHeight="1">
      <c r="B596" s="67"/>
    </row>
    <row r="597" ht="13.5" customHeight="1">
      <c r="B597" s="67"/>
    </row>
    <row r="598" ht="13.5" customHeight="1">
      <c r="B598" s="67"/>
    </row>
    <row r="599" ht="13.5" customHeight="1">
      <c r="B599" s="67"/>
    </row>
    <row r="600" ht="13.5" customHeight="1">
      <c r="B600" s="67"/>
    </row>
    <row r="601" ht="13.5" customHeight="1">
      <c r="B601" s="67"/>
    </row>
    <row r="602" ht="13.5" customHeight="1">
      <c r="B602" s="67"/>
    </row>
    <row r="603" ht="13.5" customHeight="1">
      <c r="B603" s="67"/>
    </row>
    <row r="604" ht="13.5" customHeight="1">
      <c r="B604" s="67"/>
    </row>
    <row r="605" ht="13.5" customHeight="1">
      <c r="B605" s="67"/>
    </row>
    <row r="606" ht="13.5" customHeight="1">
      <c r="B606" s="67"/>
    </row>
    <row r="607" ht="13.5" customHeight="1">
      <c r="B607" s="67"/>
    </row>
    <row r="608" ht="13.5" customHeight="1">
      <c r="B608" s="67"/>
    </row>
    <row r="609" ht="13.5" customHeight="1">
      <c r="B609" s="67"/>
    </row>
    <row r="610" ht="13.5" customHeight="1">
      <c r="B610" s="67"/>
    </row>
    <row r="611" ht="13.5" customHeight="1">
      <c r="B611" s="67"/>
    </row>
    <row r="612" ht="13.5" customHeight="1">
      <c r="B612" s="67"/>
    </row>
    <row r="613" ht="13.5" customHeight="1">
      <c r="B613" s="67"/>
    </row>
    <row r="614" ht="13.5" customHeight="1">
      <c r="B614" s="67"/>
    </row>
    <row r="615" ht="13.5" customHeight="1">
      <c r="B615" s="67"/>
    </row>
    <row r="616" ht="13.5" customHeight="1">
      <c r="B616" s="67"/>
    </row>
    <row r="617" ht="13.5" customHeight="1">
      <c r="B617" s="67"/>
    </row>
    <row r="618" ht="13.5" customHeight="1">
      <c r="B618" s="67"/>
    </row>
    <row r="619" ht="13.5" customHeight="1">
      <c r="B619" s="67"/>
    </row>
    <row r="620" ht="13.5" customHeight="1">
      <c r="B620" s="67"/>
    </row>
    <row r="621" ht="13.5" customHeight="1">
      <c r="B621" s="67"/>
    </row>
    <row r="622" ht="13.5" customHeight="1">
      <c r="B622" s="67"/>
    </row>
    <row r="623" ht="13.5" customHeight="1">
      <c r="B623" s="67"/>
    </row>
    <row r="624" ht="13.5" customHeight="1">
      <c r="B624" s="67"/>
    </row>
    <row r="625" ht="13.5" customHeight="1">
      <c r="B625" s="67"/>
    </row>
    <row r="626" ht="13.5" customHeight="1">
      <c r="B626" s="67"/>
    </row>
    <row r="627" ht="13.5" customHeight="1">
      <c r="B627" s="67"/>
    </row>
    <row r="628" ht="13.5" customHeight="1">
      <c r="B628" s="67"/>
    </row>
    <row r="629" ht="13.5" customHeight="1">
      <c r="B629" s="67"/>
    </row>
    <row r="630" ht="13.5" customHeight="1">
      <c r="B630" s="67"/>
    </row>
    <row r="631" ht="13.5" customHeight="1">
      <c r="B631" s="67"/>
    </row>
    <row r="632" ht="13.5" customHeight="1">
      <c r="B632" s="67"/>
    </row>
    <row r="633" ht="13.5" customHeight="1">
      <c r="B633" s="67"/>
    </row>
    <row r="634" ht="13.5" customHeight="1">
      <c r="B634" s="67"/>
    </row>
    <row r="635" ht="13.5" customHeight="1">
      <c r="B635" s="67"/>
    </row>
    <row r="636" ht="13.5" customHeight="1">
      <c r="B636" s="67"/>
    </row>
    <row r="637" ht="13.5" customHeight="1">
      <c r="B637" s="67"/>
    </row>
    <row r="638" ht="13.5" customHeight="1">
      <c r="B638" s="67"/>
    </row>
    <row r="639" ht="13.5" customHeight="1">
      <c r="B639" s="67"/>
    </row>
    <row r="640" ht="13.5" customHeight="1">
      <c r="B640" s="67"/>
    </row>
    <row r="641" ht="13.5" customHeight="1">
      <c r="B641" s="67"/>
    </row>
    <row r="642" ht="13.5" customHeight="1">
      <c r="B642" s="67"/>
    </row>
    <row r="643" ht="13.5" customHeight="1">
      <c r="B643" s="67"/>
    </row>
    <row r="644" ht="13.5" customHeight="1">
      <c r="B644" s="67"/>
    </row>
    <row r="645" ht="13.5" customHeight="1">
      <c r="B645" s="67"/>
    </row>
    <row r="646" ht="13.5" customHeight="1">
      <c r="B646" s="67"/>
    </row>
    <row r="647" ht="13.5" customHeight="1">
      <c r="B647" s="67"/>
    </row>
    <row r="648" ht="13.5" customHeight="1">
      <c r="B648" s="67"/>
    </row>
    <row r="649" ht="13.5" customHeight="1">
      <c r="B649" s="67"/>
    </row>
    <row r="650" ht="13.5" customHeight="1">
      <c r="B650" s="67"/>
    </row>
    <row r="651" ht="13.5" customHeight="1">
      <c r="B651" s="67"/>
    </row>
    <row r="652" ht="13.5" customHeight="1">
      <c r="B652" s="67"/>
    </row>
    <row r="653" ht="13.5" customHeight="1">
      <c r="B653" s="67"/>
    </row>
    <row r="654" ht="13.5" customHeight="1">
      <c r="B654" s="67"/>
    </row>
    <row r="655" ht="13.5" customHeight="1">
      <c r="B655" s="67"/>
    </row>
    <row r="656" ht="13.5" customHeight="1">
      <c r="B656" s="67"/>
    </row>
    <row r="657" ht="13.5" customHeight="1">
      <c r="B657" s="67"/>
    </row>
    <row r="658" ht="13.5" customHeight="1">
      <c r="B658" s="67"/>
    </row>
    <row r="659" ht="13.5" customHeight="1">
      <c r="B659" s="67"/>
    </row>
    <row r="660" ht="13.5" customHeight="1">
      <c r="B660" s="67"/>
    </row>
    <row r="661" ht="13.5" customHeight="1">
      <c r="B661" s="67"/>
    </row>
    <row r="662" ht="13.5" customHeight="1">
      <c r="B662" s="67"/>
    </row>
    <row r="663" ht="13.5" customHeight="1">
      <c r="B663" s="67"/>
    </row>
    <row r="664" ht="13.5" customHeight="1">
      <c r="B664" s="67"/>
    </row>
    <row r="665" ht="13.5" customHeight="1">
      <c r="B665" s="67"/>
    </row>
    <row r="666" ht="13.5" customHeight="1">
      <c r="B666" s="67"/>
    </row>
    <row r="667" ht="13.5" customHeight="1">
      <c r="B667" s="67"/>
    </row>
    <row r="668" ht="13.5" customHeight="1">
      <c r="B668" s="67"/>
    </row>
    <row r="669" ht="13.5" customHeight="1">
      <c r="B669" s="67"/>
    </row>
    <row r="670" ht="13.5" customHeight="1">
      <c r="B670" s="67"/>
    </row>
    <row r="671" ht="13.5" customHeight="1">
      <c r="B671" s="67"/>
    </row>
    <row r="672" ht="13.5" customHeight="1">
      <c r="B672" s="67"/>
    </row>
    <row r="673" ht="13.5" customHeight="1">
      <c r="B673" s="67"/>
    </row>
    <row r="674" ht="13.5" customHeight="1">
      <c r="B674" s="67"/>
    </row>
    <row r="675" ht="13.5" customHeight="1">
      <c r="B675" s="67"/>
    </row>
    <row r="676" ht="13.5" customHeight="1">
      <c r="B676" s="67"/>
    </row>
    <row r="677" ht="13.5" customHeight="1">
      <c r="B677" s="67"/>
    </row>
    <row r="678" ht="13.5" customHeight="1">
      <c r="B678" s="67"/>
    </row>
    <row r="679" ht="13.5" customHeight="1">
      <c r="B679" s="67"/>
    </row>
    <row r="680" ht="13.5" customHeight="1">
      <c r="B680" s="67"/>
    </row>
    <row r="681" ht="13.5" customHeight="1">
      <c r="B681" s="67"/>
    </row>
    <row r="682" ht="13.5" customHeight="1">
      <c r="B682" s="67"/>
    </row>
    <row r="683" ht="13.5" customHeight="1">
      <c r="B683" s="67"/>
    </row>
    <row r="684" ht="13.5" customHeight="1">
      <c r="B684" s="67"/>
    </row>
    <row r="685" ht="13.5" customHeight="1">
      <c r="B685" s="67"/>
    </row>
    <row r="686" ht="13.5" customHeight="1">
      <c r="B686" s="67"/>
    </row>
    <row r="687" ht="13.5" customHeight="1">
      <c r="B687" s="67"/>
    </row>
    <row r="688" ht="13.5" customHeight="1">
      <c r="B688" s="67"/>
    </row>
    <row r="689" ht="13.5" customHeight="1">
      <c r="B689" s="67"/>
    </row>
    <row r="690" ht="13.5" customHeight="1">
      <c r="B690" s="67"/>
    </row>
    <row r="691" ht="13.5" customHeight="1">
      <c r="B691" s="67"/>
    </row>
    <row r="692" ht="13.5" customHeight="1">
      <c r="B692" s="67"/>
    </row>
    <row r="693" ht="13.5" customHeight="1">
      <c r="B693" s="67"/>
    </row>
    <row r="694" ht="13.5" customHeight="1">
      <c r="B694" s="67"/>
    </row>
    <row r="695" ht="13.5" customHeight="1">
      <c r="B695" s="67"/>
    </row>
    <row r="696" ht="13.5" customHeight="1">
      <c r="B696" s="67"/>
    </row>
    <row r="697" ht="13.5" customHeight="1">
      <c r="B697" s="67"/>
    </row>
    <row r="698" ht="13.5" customHeight="1">
      <c r="B698" s="67"/>
    </row>
    <row r="699" ht="13.5" customHeight="1">
      <c r="B699" s="67"/>
    </row>
    <row r="700" ht="13.5" customHeight="1">
      <c r="B700" s="67"/>
    </row>
    <row r="701" ht="13.5" customHeight="1">
      <c r="B701" s="67"/>
    </row>
    <row r="702" ht="13.5" customHeight="1">
      <c r="B702" s="67"/>
    </row>
    <row r="703" ht="13.5" customHeight="1">
      <c r="B703" s="67"/>
    </row>
    <row r="704" ht="13.5" customHeight="1">
      <c r="B704" s="67"/>
    </row>
    <row r="705" ht="13.5" customHeight="1">
      <c r="B705" s="67"/>
    </row>
    <row r="706" ht="13.5" customHeight="1">
      <c r="B706" s="67"/>
    </row>
    <row r="707" ht="13.5" customHeight="1">
      <c r="B707" s="67"/>
    </row>
    <row r="708" ht="13.5" customHeight="1">
      <c r="B708" s="67"/>
    </row>
    <row r="709" ht="13.5" customHeight="1">
      <c r="B709" s="67"/>
    </row>
    <row r="710" ht="13.5" customHeight="1">
      <c r="B710" s="67"/>
    </row>
    <row r="711" ht="13.5" customHeight="1">
      <c r="B711" s="67"/>
    </row>
    <row r="712" ht="13.5" customHeight="1">
      <c r="B712" s="67"/>
    </row>
    <row r="713" ht="13.5" customHeight="1">
      <c r="B713" s="67"/>
    </row>
    <row r="714" ht="13.5" customHeight="1">
      <c r="B714" s="67"/>
    </row>
    <row r="715" ht="13.5" customHeight="1">
      <c r="B715" s="67"/>
    </row>
    <row r="716" ht="13.5" customHeight="1">
      <c r="B716" s="67"/>
    </row>
    <row r="717" ht="13.5" customHeight="1">
      <c r="B717" s="67"/>
    </row>
    <row r="718" ht="13.5" customHeight="1">
      <c r="B718" s="67"/>
    </row>
    <row r="719" ht="13.5" customHeight="1">
      <c r="B719" s="67"/>
    </row>
    <row r="720" ht="13.5" customHeight="1">
      <c r="B720" s="67"/>
    </row>
    <row r="721" ht="13.5" customHeight="1">
      <c r="B721" s="67"/>
    </row>
    <row r="722" ht="13.5" customHeight="1">
      <c r="B722" s="67"/>
    </row>
    <row r="723" ht="13.5" customHeight="1">
      <c r="B723" s="67"/>
    </row>
    <row r="724" ht="13.5" customHeight="1">
      <c r="B724" s="67"/>
    </row>
    <row r="725" ht="13.5" customHeight="1">
      <c r="B725" s="67"/>
    </row>
    <row r="726" ht="13.5" customHeight="1">
      <c r="B726" s="67"/>
    </row>
    <row r="727" ht="13.5" customHeight="1">
      <c r="B727" s="67"/>
    </row>
    <row r="728" ht="13.5" customHeight="1">
      <c r="B728" s="67"/>
    </row>
    <row r="729" ht="13.5" customHeight="1">
      <c r="B729" s="67"/>
    </row>
    <row r="730" ht="13.5" customHeight="1">
      <c r="B730" s="67"/>
    </row>
    <row r="731" ht="13.5" customHeight="1">
      <c r="B731" s="67"/>
    </row>
    <row r="732" ht="13.5" customHeight="1">
      <c r="B732" s="67"/>
    </row>
    <row r="733" ht="13.5" customHeight="1">
      <c r="B733" s="67"/>
    </row>
    <row r="734" ht="13.5" customHeight="1">
      <c r="B734" s="67"/>
    </row>
    <row r="735" ht="13.5" customHeight="1">
      <c r="B735" s="67"/>
    </row>
    <row r="736" ht="13.5" customHeight="1">
      <c r="B736" s="67"/>
    </row>
    <row r="737" ht="13.5" customHeight="1">
      <c r="B737" s="67"/>
    </row>
    <row r="738" ht="13.5" customHeight="1">
      <c r="B738" s="67"/>
    </row>
    <row r="739" ht="13.5" customHeight="1">
      <c r="B739" s="67"/>
    </row>
    <row r="740" ht="13.5" customHeight="1">
      <c r="B740" s="67"/>
    </row>
    <row r="741" ht="13.5" customHeight="1">
      <c r="B741" s="67"/>
    </row>
    <row r="742" ht="13.5" customHeight="1">
      <c r="B742" s="67"/>
    </row>
    <row r="743" ht="13.5" customHeight="1">
      <c r="B743" s="67"/>
    </row>
    <row r="744" ht="13.5" customHeight="1">
      <c r="B744" s="67"/>
    </row>
    <row r="745" ht="13.5" customHeight="1">
      <c r="B745" s="67"/>
    </row>
    <row r="746" ht="13.5" customHeight="1">
      <c r="B746" s="67"/>
    </row>
    <row r="747" ht="13.5" customHeight="1">
      <c r="B747" s="67"/>
    </row>
    <row r="748" ht="13.5" customHeight="1">
      <c r="B748" s="67"/>
    </row>
    <row r="749" ht="13.5" customHeight="1">
      <c r="B749" s="67"/>
    </row>
    <row r="750" ht="13.5" customHeight="1">
      <c r="B750" s="67"/>
    </row>
    <row r="751" ht="13.5" customHeight="1">
      <c r="B751" s="67"/>
    </row>
    <row r="752" ht="13.5" customHeight="1">
      <c r="B752" s="67"/>
    </row>
    <row r="753" ht="13.5" customHeight="1">
      <c r="B753" s="67"/>
    </row>
    <row r="754" ht="13.5" customHeight="1">
      <c r="B754" s="67"/>
    </row>
    <row r="755" ht="13.5" customHeight="1">
      <c r="B755" s="67"/>
    </row>
    <row r="756" ht="13.5" customHeight="1">
      <c r="B756" s="67"/>
    </row>
    <row r="757" ht="13.5" customHeight="1">
      <c r="B757" s="67"/>
    </row>
    <row r="758" ht="13.5" customHeight="1">
      <c r="B758" s="67"/>
    </row>
    <row r="759" ht="13.5" customHeight="1">
      <c r="B759" s="67"/>
    </row>
    <row r="760" ht="13.5" customHeight="1">
      <c r="B760" s="67"/>
    </row>
    <row r="761" ht="13.5" customHeight="1">
      <c r="B761" s="67"/>
    </row>
    <row r="762" ht="13.5" customHeight="1">
      <c r="B762" s="67"/>
    </row>
    <row r="763" ht="13.5" customHeight="1">
      <c r="B763" s="67"/>
    </row>
    <row r="764" ht="13.5" customHeight="1">
      <c r="B764" s="67"/>
    </row>
    <row r="765" ht="13.5" customHeight="1">
      <c r="B765" s="67"/>
    </row>
    <row r="766" ht="13.5" customHeight="1">
      <c r="B766" s="67"/>
    </row>
    <row r="767" ht="13.5" customHeight="1">
      <c r="B767" s="67"/>
    </row>
    <row r="768" ht="13.5" customHeight="1">
      <c r="B768" s="67"/>
    </row>
    <row r="769" ht="13.5" customHeight="1">
      <c r="B769" s="67"/>
    </row>
    <row r="770" ht="13.5" customHeight="1">
      <c r="B770" s="67"/>
    </row>
    <row r="771" ht="13.5" customHeight="1">
      <c r="B771" s="67"/>
    </row>
    <row r="772" ht="13.5" customHeight="1">
      <c r="B772" s="67"/>
    </row>
    <row r="773" ht="13.5" customHeight="1">
      <c r="B773" s="67"/>
    </row>
    <row r="774" ht="13.5" customHeight="1">
      <c r="B774" s="67"/>
    </row>
    <row r="775" ht="13.5" customHeight="1">
      <c r="B775" s="67"/>
    </row>
    <row r="776" ht="13.5" customHeight="1">
      <c r="B776" s="67"/>
    </row>
    <row r="777" ht="13.5" customHeight="1">
      <c r="B777" s="67"/>
    </row>
    <row r="778" ht="13.5" customHeight="1">
      <c r="B778" s="67"/>
    </row>
    <row r="779" ht="13.5" customHeight="1">
      <c r="B779" s="67"/>
    </row>
    <row r="780" ht="13.5" customHeight="1">
      <c r="B780" s="67"/>
    </row>
    <row r="781" ht="13.5" customHeight="1">
      <c r="B781" s="67"/>
    </row>
    <row r="782" ht="13.5" customHeight="1">
      <c r="B782" s="67"/>
    </row>
    <row r="783" ht="13.5" customHeight="1">
      <c r="B783" s="67"/>
    </row>
    <row r="784" ht="13.5" customHeight="1">
      <c r="B784" s="67"/>
    </row>
    <row r="785" ht="13.5" customHeight="1">
      <c r="B785" s="67"/>
    </row>
    <row r="786" ht="13.5" customHeight="1">
      <c r="B786" s="67"/>
    </row>
    <row r="787" ht="13.5" customHeight="1">
      <c r="B787" s="67"/>
    </row>
    <row r="788" ht="13.5" customHeight="1">
      <c r="B788" s="67"/>
    </row>
    <row r="789" ht="13.5" customHeight="1">
      <c r="B789" s="67"/>
    </row>
    <row r="790" ht="13.5" customHeight="1">
      <c r="B790" s="67"/>
    </row>
    <row r="791" ht="13.5" customHeight="1">
      <c r="B791" s="67"/>
    </row>
    <row r="792" ht="13.5" customHeight="1">
      <c r="B792" s="67"/>
    </row>
    <row r="793" ht="13.5" customHeight="1">
      <c r="B793" s="67"/>
    </row>
    <row r="794" ht="13.5" customHeight="1">
      <c r="B794" s="67"/>
    </row>
    <row r="795" ht="13.5" customHeight="1">
      <c r="B795" s="67"/>
    </row>
    <row r="796" ht="13.5" customHeight="1">
      <c r="B796" s="67"/>
    </row>
    <row r="797" ht="13.5" customHeight="1">
      <c r="B797" s="67"/>
    </row>
    <row r="798" ht="13.5" customHeight="1">
      <c r="B798" s="67"/>
    </row>
    <row r="799" ht="13.5" customHeight="1">
      <c r="B799" s="67"/>
    </row>
    <row r="800" ht="13.5" customHeight="1">
      <c r="B800" s="67"/>
    </row>
    <row r="801" ht="13.5" customHeight="1">
      <c r="B801" s="67"/>
    </row>
    <row r="802" ht="13.5" customHeight="1">
      <c r="B802" s="67"/>
    </row>
    <row r="803" ht="13.5" customHeight="1">
      <c r="B803" s="67"/>
    </row>
    <row r="804" ht="13.5" customHeight="1">
      <c r="B804" s="67"/>
    </row>
    <row r="805" ht="13.5" customHeight="1">
      <c r="B805" s="67"/>
    </row>
    <row r="806" ht="13.5" customHeight="1">
      <c r="B806" s="67"/>
    </row>
    <row r="807" ht="13.5" customHeight="1">
      <c r="B807" s="67"/>
    </row>
    <row r="808" ht="13.5" customHeight="1">
      <c r="B808" s="67"/>
    </row>
    <row r="809" ht="13.5" customHeight="1">
      <c r="B809" s="67"/>
    </row>
    <row r="810" ht="13.5" customHeight="1">
      <c r="B810" s="67"/>
    </row>
    <row r="811" ht="13.5" customHeight="1">
      <c r="B811" s="67"/>
    </row>
    <row r="812" ht="13.5" customHeight="1">
      <c r="B812" s="67"/>
    </row>
    <row r="813" ht="13.5" customHeight="1">
      <c r="B813" s="67"/>
    </row>
    <row r="814" ht="13.5" customHeight="1">
      <c r="B814" s="67"/>
    </row>
    <row r="815" ht="13.5" customHeight="1">
      <c r="B815" s="67"/>
    </row>
    <row r="816" ht="13.5" customHeight="1">
      <c r="B816" s="67"/>
    </row>
    <row r="817" ht="13.5" customHeight="1">
      <c r="B817" s="67"/>
    </row>
    <row r="818" ht="13.5" customHeight="1">
      <c r="B818" s="67"/>
    </row>
    <row r="819" ht="13.5" customHeight="1">
      <c r="B819" s="67"/>
    </row>
    <row r="820" ht="13.5" customHeight="1">
      <c r="B820" s="67"/>
    </row>
    <row r="821" ht="13.5" customHeight="1">
      <c r="B821" s="67"/>
    </row>
    <row r="822" ht="13.5" customHeight="1">
      <c r="B822" s="67"/>
    </row>
    <row r="823" ht="13.5" customHeight="1">
      <c r="B823" s="67"/>
    </row>
    <row r="824" ht="13.5" customHeight="1">
      <c r="B824" s="67"/>
    </row>
    <row r="825" ht="13.5" customHeight="1">
      <c r="B825" s="67"/>
    </row>
    <row r="826" ht="13.5" customHeight="1">
      <c r="B826" s="67"/>
    </row>
    <row r="827" ht="13.5" customHeight="1">
      <c r="B827" s="67"/>
    </row>
    <row r="828" ht="13.5" customHeight="1">
      <c r="B828" s="67"/>
    </row>
    <row r="829" ht="13.5" customHeight="1">
      <c r="B829" s="67"/>
    </row>
    <row r="830" ht="13.5" customHeight="1">
      <c r="B830" s="67"/>
    </row>
    <row r="831" ht="13.5" customHeight="1">
      <c r="B831" s="67"/>
    </row>
    <row r="832" ht="13.5" customHeight="1">
      <c r="B832" s="67"/>
    </row>
    <row r="833" ht="13.5" customHeight="1">
      <c r="B833" s="67"/>
    </row>
    <row r="834" ht="13.5" customHeight="1">
      <c r="B834" s="67"/>
    </row>
    <row r="835" ht="13.5" customHeight="1">
      <c r="B835" s="67"/>
    </row>
    <row r="836" ht="13.5" customHeight="1">
      <c r="B836" s="67"/>
    </row>
    <row r="837" ht="13.5" customHeight="1">
      <c r="B837" s="67"/>
    </row>
    <row r="838" ht="13.5" customHeight="1">
      <c r="B838" s="67"/>
    </row>
    <row r="839" ht="13.5" customHeight="1">
      <c r="B839" s="67"/>
    </row>
    <row r="840" ht="13.5" customHeight="1">
      <c r="B840" s="67"/>
    </row>
    <row r="841" ht="13.5" customHeight="1">
      <c r="B841" s="67"/>
    </row>
    <row r="842" ht="13.5" customHeight="1">
      <c r="B842" s="67"/>
    </row>
    <row r="843" ht="13.5" customHeight="1">
      <c r="B843" s="67"/>
    </row>
    <row r="844" ht="13.5" customHeight="1">
      <c r="B844" s="67"/>
    </row>
    <row r="845" ht="13.5" customHeight="1">
      <c r="B845" s="67"/>
    </row>
    <row r="846" ht="13.5" customHeight="1">
      <c r="B846" s="67"/>
    </row>
    <row r="847" ht="13.5" customHeight="1">
      <c r="B847" s="67"/>
    </row>
    <row r="848" ht="13.5" customHeight="1">
      <c r="B848" s="67"/>
    </row>
    <row r="849" ht="13.5" customHeight="1">
      <c r="B849" s="67"/>
    </row>
    <row r="850" ht="13.5" customHeight="1">
      <c r="B850" s="67"/>
    </row>
    <row r="851" ht="13.5" customHeight="1">
      <c r="B851" s="67"/>
    </row>
    <row r="852" ht="13.5" customHeight="1">
      <c r="B852" s="67"/>
    </row>
    <row r="853" ht="13.5" customHeight="1">
      <c r="B853" s="67"/>
    </row>
    <row r="854" ht="13.5" customHeight="1">
      <c r="B854" s="67"/>
    </row>
    <row r="855" ht="13.5" customHeight="1">
      <c r="B855" s="67"/>
    </row>
    <row r="856" ht="13.5" customHeight="1">
      <c r="B856" s="67"/>
    </row>
    <row r="857" ht="13.5" customHeight="1">
      <c r="B857" s="67"/>
    </row>
    <row r="858" ht="13.5" customHeight="1">
      <c r="B858" s="67"/>
    </row>
    <row r="859" ht="13.5" customHeight="1">
      <c r="B859" s="67"/>
    </row>
    <row r="860" ht="13.5" customHeight="1">
      <c r="B860" s="67"/>
    </row>
    <row r="861" ht="13.5" customHeight="1">
      <c r="B861" s="67"/>
    </row>
    <row r="862" ht="13.5" customHeight="1">
      <c r="B862" s="67"/>
    </row>
    <row r="863" ht="13.5" customHeight="1">
      <c r="B863" s="67"/>
    </row>
    <row r="864" ht="13.5" customHeight="1">
      <c r="B864" s="67"/>
    </row>
    <row r="865" ht="13.5" customHeight="1">
      <c r="B865" s="67"/>
    </row>
    <row r="866" ht="13.5" customHeight="1">
      <c r="B866" s="67"/>
    </row>
    <row r="867" ht="13.5" customHeight="1">
      <c r="B867" s="67"/>
    </row>
    <row r="868" ht="13.5" customHeight="1">
      <c r="B868" s="67"/>
    </row>
    <row r="869" ht="13.5" customHeight="1">
      <c r="B869" s="67"/>
    </row>
    <row r="870" ht="13.5" customHeight="1">
      <c r="B870" s="67"/>
    </row>
    <row r="871" ht="13.5" customHeight="1">
      <c r="B871" s="67"/>
    </row>
    <row r="872" ht="13.5" customHeight="1">
      <c r="B872" s="67"/>
    </row>
    <row r="873" ht="13.5" customHeight="1">
      <c r="B873" s="67"/>
    </row>
    <row r="874" ht="13.5" customHeight="1">
      <c r="B874" s="67"/>
    </row>
    <row r="875" ht="13.5" customHeight="1">
      <c r="B875" s="67"/>
    </row>
    <row r="876" ht="13.5" customHeight="1">
      <c r="B876" s="67"/>
    </row>
    <row r="877" ht="13.5" customHeight="1">
      <c r="B877" s="67"/>
    </row>
    <row r="878" ht="13.5" customHeight="1">
      <c r="B878" s="67"/>
    </row>
    <row r="879" ht="13.5" customHeight="1">
      <c r="B879" s="67"/>
    </row>
    <row r="880" ht="13.5" customHeight="1">
      <c r="B880" s="67"/>
    </row>
    <row r="881" ht="13.5" customHeight="1">
      <c r="B881" s="67"/>
    </row>
    <row r="882" ht="13.5" customHeight="1">
      <c r="B882" s="67"/>
    </row>
    <row r="883" ht="13.5" customHeight="1">
      <c r="B883" s="67"/>
    </row>
    <row r="884" ht="13.5" customHeight="1">
      <c r="B884" s="67"/>
    </row>
    <row r="885" ht="13.5" customHeight="1">
      <c r="B885" s="67"/>
    </row>
    <row r="886" ht="13.5" customHeight="1">
      <c r="B886" s="67"/>
    </row>
    <row r="887" ht="13.5" customHeight="1">
      <c r="B887" s="67"/>
    </row>
    <row r="888" ht="13.5" customHeight="1">
      <c r="B888" s="67"/>
    </row>
    <row r="889" ht="13.5" customHeight="1">
      <c r="B889" s="67"/>
    </row>
    <row r="890" ht="13.5" customHeight="1">
      <c r="B890" s="67"/>
    </row>
    <row r="891" ht="13.5" customHeight="1">
      <c r="B891" s="67"/>
    </row>
    <row r="892" ht="13.5" customHeight="1">
      <c r="B892" s="67"/>
    </row>
    <row r="893" ht="13.5" customHeight="1">
      <c r="B893" s="67"/>
    </row>
    <row r="894" ht="13.5" customHeight="1">
      <c r="B894" s="67"/>
    </row>
    <row r="895" ht="13.5" customHeight="1">
      <c r="B895" s="67"/>
    </row>
    <row r="896" ht="13.5" customHeight="1">
      <c r="B896" s="67"/>
    </row>
    <row r="897" ht="13.5" customHeight="1">
      <c r="B897" s="67"/>
    </row>
    <row r="898" ht="13.5" customHeight="1">
      <c r="B898" s="67"/>
    </row>
    <row r="899" ht="13.5" customHeight="1">
      <c r="B899" s="67"/>
    </row>
    <row r="900" ht="13.5" customHeight="1">
      <c r="B900" s="67"/>
    </row>
    <row r="901" ht="13.5" customHeight="1">
      <c r="B901" s="67"/>
    </row>
    <row r="902" ht="13.5" customHeight="1">
      <c r="B902" s="67"/>
    </row>
    <row r="903" ht="13.5" customHeight="1">
      <c r="B903" s="67"/>
    </row>
    <row r="904" ht="13.5" customHeight="1">
      <c r="B904" s="67"/>
    </row>
    <row r="905" ht="13.5" customHeight="1">
      <c r="B905" s="67"/>
    </row>
    <row r="906" ht="13.5" customHeight="1">
      <c r="B906" s="67"/>
    </row>
    <row r="907" ht="13.5" customHeight="1">
      <c r="B907" s="67"/>
    </row>
    <row r="908" ht="13.5" customHeight="1">
      <c r="B908" s="67"/>
    </row>
    <row r="909" ht="13.5" customHeight="1">
      <c r="B909" s="67"/>
    </row>
    <row r="910" ht="13.5" customHeight="1">
      <c r="B910" s="67"/>
    </row>
    <row r="911" ht="13.5" customHeight="1">
      <c r="B911" s="67"/>
    </row>
    <row r="912" ht="13.5" customHeight="1">
      <c r="B912" s="67"/>
    </row>
    <row r="913" ht="13.5" customHeight="1">
      <c r="B913" s="67"/>
    </row>
    <row r="914" ht="13.5" customHeight="1">
      <c r="B914" s="67"/>
    </row>
    <row r="915" ht="13.5" customHeight="1">
      <c r="B915" s="67"/>
    </row>
    <row r="916" ht="13.5" customHeight="1">
      <c r="B916" s="67"/>
    </row>
    <row r="917" ht="13.5" customHeight="1">
      <c r="B917" s="67"/>
    </row>
    <row r="918" ht="13.5" customHeight="1">
      <c r="B918" s="67"/>
    </row>
    <row r="919" ht="13.5" customHeight="1">
      <c r="B919" s="67"/>
    </row>
    <row r="920" ht="13.5" customHeight="1">
      <c r="B920" s="67"/>
    </row>
    <row r="921" ht="13.5" customHeight="1">
      <c r="B921" s="67"/>
    </row>
    <row r="922" ht="13.5" customHeight="1">
      <c r="B922" s="67"/>
    </row>
    <row r="923" ht="13.5" customHeight="1">
      <c r="B923" s="67"/>
    </row>
    <row r="924" ht="13.5" customHeight="1">
      <c r="B924" s="67"/>
    </row>
    <row r="925" ht="13.5" customHeight="1">
      <c r="B925" s="67"/>
    </row>
    <row r="926" ht="13.5" customHeight="1">
      <c r="B926" s="67"/>
    </row>
    <row r="927" ht="13.5" customHeight="1">
      <c r="B927" s="67"/>
    </row>
    <row r="928" ht="13.5" customHeight="1">
      <c r="B928" s="67"/>
    </row>
    <row r="929" ht="13.5" customHeight="1">
      <c r="B929" s="67"/>
    </row>
    <row r="930" ht="13.5" customHeight="1">
      <c r="B930" s="67"/>
    </row>
    <row r="931" ht="13.5" customHeight="1">
      <c r="B931" s="67"/>
    </row>
    <row r="932" ht="13.5" customHeight="1">
      <c r="B932" s="67"/>
    </row>
    <row r="933" ht="13.5" customHeight="1">
      <c r="B933" s="67"/>
    </row>
    <row r="934" ht="13.5" customHeight="1">
      <c r="B934" s="67"/>
    </row>
    <row r="935" ht="13.5" customHeight="1">
      <c r="B935" s="67"/>
    </row>
    <row r="936" ht="13.5" customHeight="1">
      <c r="B936" s="67"/>
    </row>
    <row r="937" ht="13.5" customHeight="1">
      <c r="B937" s="67"/>
    </row>
    <row r="938" ht="13.5" customHeight="1">
      <c r="B938" s="67"/>
    </row>
    <row r="939" ht="13.5" customHeight="1">
      <c r="B939" s="67"/>
    </row>
    <row r="940" ht="13.5" customHeight="1">
      <c r="B940" s="67"/>
    </row>
    <row r="941" ht="13.5" customHeight="1">
      <c r="B941" s="67"/>
    </row>
    <row r="942" ht="13.5" customHeight="1">
      <c r="B942" s="67"/>
    </row>
    <row r="943" ht="13.5" customHeight="1">
      <c r="B943" s="67"/>
    </row>
    <row r="944" ht="13.5" customHeight="1">
      <c r="B944" s="67"/>
    </row>
    <row r="945" ht="13.5" customHeight="1">
      <c r="B945" s="67"/>
    </row>
    <row r="946" ht="13.5" customHeight="1">
      <c r="B946" s="67"/>
    </row>
    <row r="947" ht="13.5" customHeight="1">
      <c r="B947" s="67"/>
    </row>
    <row r="948" ht="13.5" customHeight="1">
      <c r="B948" s="67"/>
    </row>
    <row r="949" ht="13.5" customHeight="1">
      <c r="B949" s="67"/>
    </row>
    <row r="950" ht="13.5" customHeight="1">
      <c r="B950" s="67"/>
    </row>
    <row r="951" ht="13.5" customHeight="1">
      <c r="B951" s="67"/>
    </row>
    <row r="952" ht="13.5" customHeight="1">
      <c r="B952" s="67"/>
    </row>
    <row r="953" ht="13.5" customHeight="1">
      <c r="B953" s="67"/>
    </row>
    <row r="954" ht="13.5" customHeight="1">
      <c r="B954" s="67"/>
    </row>
    <row r="955" ht="13.5" customHeight="1">
      <c r="B955" s="67"/>
    </row>
    <row r="956" ht="13.5" customHeight="1">
      <c r="B956" s="67"/>
    </row>
    <row r="957" ht="13.5" customHeight="1">
      <c r="B957" s="67"/>
    </row>
    <row r="958" ht="13.5" customHeight="1">
      <c r="B958" s="67"/>
    </row>
    <row r="959" ht="13.5" customHeight="1">
      <c r="B959" s="67"/>
    </row>
    <row r="960" ht="13.5" customHeight="1">
      <c r="B960" s="67"/>
    </row>
    <row r="961" ht="13.5" customHeight="1">
      <c r="B961" s="67"/>
    </row>
    <row r="962" ht="13.5" customHeight="1">
      <c r="B962" s="67"/>
    </row>
    <row r="963" ht="13.5" customHeight="1">
      <c r="B963" s="67"/>
    </row>
    <row r="964" ht="13.5" customHeight="1">
      <c r="B964" s="67"/>
    </row>
    <row r="965" ht="13.5" customHeight="1">
      <c r="B965" s="67"/>
    </row>
    <row r="966" ht="13.5" customHeight="1">
      <c r="B966" s="67"/>
    </row>
    <row r="967" ht="13.5" customHeight="1">
      <c r="B967" s="67"/>
    </row>
    <row r="968" ht="13.5" customHeight="1">
      <c r="B968" s="67"/>
    </row>
    <row r="969" ht="13.5" customHeight="1">
      <c r="B969" s="67"/>
    </row>
    <row r="970" ht="13.5" customHeight="1">
      <c r="B970" s="67"/>
    </row>
    <row r="971" ht="13.5" customHeight="1">
      <c r="B971" s="67"/>
    </row>
    <row r="972" ht="13.5" customHeight="1">
      <c r="B972" s="67"/>
    </row>
    <row r="973" ht="13.5" customHeight="1">
      <c r="B973" s="67"/>
    </row>
    <row r="974" ht="13.5" customHeight="1">
      <c r="B974" s="67"/>
    </row>
    <row r="975" ht="13.5" customHeight="1">
      <c r="B975" s="67"/>
    </row>
    <row r="976" ht="13.5" customHeight="1">
      <c r="B976" s="67"/>
    </row>
    <row r="977" ht="13.5" customHeight="1">
      <c r="B977" s="67"/>
    </row>
    <row r="978" ht="13.5" customHeight="1">
      <c r="B978" s="67"/>
    </row>
    <row r="979" ht="13.5" customHeight="1">
      <c r="B979" s="67"/>
    </row>
    <row r="980" ht="13.5" customHeight="1">
      <c r="B980" s="67"/>
    </row>
    <row r="981" ht="13.5" customHeight="1">
      <c r="B981" s="67"/>
    </row>
    <row r="982" ht="13.5" customHeight="1">
      <c r="B982" s="67"/>
    </row>
    <row r="983" ht="13.5" customHeight="1">
      <c r="B983" s="67"/>
    </row>
    <row r="984" ht="13.5" customHeight="1">
      <c r="B984" s="67"/>
    </row>
    <row r="985" ht="13.5" customHeight="1">
      <c r="B985" s="67"/>
    </row>
    <row r="986" ht="13.5" customHeight="1">
      <c r="B986" s="67"/>
    </row>
    <row r="987" ht="13.5" customHeight="1">
      <c r="B987" s="67"/>
    </row>
    <row r="988" ht="13.5" customHeight="1">
      <c r="B988" s="67"/>
    </row>
    <row r="989" ht="13.5" customHeight="1">
      <c r="B989" s="67"/>
    </row>
    <row r="990" ht="13.5" customHeight="1">
      <c r="B990" s="67"/>
    </row>
    <row r="991" ht="13.5" customHeight="1">
      <c r="B991" s="67"/>
    </row>
    <row r="992" ht="13.5" customHeight="1">
      <c r="B992" s="67"/>
    </row>
    <row r="993" ht="13.5" customHeight="1">
      <c r="B993" s="67"/>
    </row>
    <row r="994" ht="13.5" customHeight="1">
      <c r="B994" s="67"/>
    </row>
    <row r="995" ht="13.5" customHeight="1">
      <c r="B995" s="67"/>
    </row>
    <row r="996" ht="13.5" customHeight="1">
      <c r="B996" s="67"/>
    </row>
    <row r="997" ht="13.5" customHeight="1">
      <c r="B997" s="67"/>
    </row>
    <row r="998" ht="13.5" customHeight="1">
      <c r="B998" s="67"/>
    </row>
    <row r="999" ht="13.5" customHeight="1">
      <c r="B999" s="67"/>
    </row>
    <row r="1000" ht="13.5" customHeight="1">
      <c r="B1000" s="67"/>
    </row>
  </sheetData>
  <dataValidations>
    <dataValidation type="list" allowBlank="1" showInputMessage="1" showErrorMessage="1" prompt="Escolha uma opção cadastrada." sqref="B6:B1000">
      <formula1>'Exercícios'!$A$6:$A$1000</formula1>
    </dataValidation>
    <dataValidation type="list" allowBlank="1" sqref="L6:L27">
      <formula1>"A revisar,Aprovado,Trocar,Reduzir volume"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5.0"/>
    <col customWidth="1" min="3" max="3" width="33.0"/>
    <col customWidth="1" min="4" max="4" width="29.0"/>
    <col customWidth="1" min="5" max="5" width="13.0"/>
    <col customWidth="1" min="6" max="6" width="11.0"/>
    <col customWidth="1" min="7" max="7" width="13.0"/>
    <col customWidth="1" min="8" max="8" width="11.0"/>
    <col customWidth="1" min="9" max="9" width="13.0"/>
    <col customWidth="1" min="10" max="10" width="11.0"/>
    <col customWidth="1" min="11" max="11" width="13.0"/>
    <col customWidth="1" min="12" max="12" width="11.0"/>
    <col customWidth="1" min="13" max="13" width="14.0"/>
    <col customWidth="1" min="14" max="14" width="18.0"/>
    <col customWidth="1" min="15" max="16" width="12.0"/>
    <col customWidth="1" min="17" max="17" width="56.0"/>
    <col customWidth="1" min="18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21.75" customHeight="1">
      <c r="A2" s="47" t="s">
        <v>171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1.75" customHeight="1">
      <c r="A3" s="48" t="s">
        <v>174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37.5" customHeight="1">
      <c r="A5" s="49" t="s">
        <v>8</v>
      </c>
      <c r="B5" s="49" t="s">
        <v>50</v>
      </c>
      <c r="C5" s="49" t="s">
        <v>3</v>
      </c>
      <c r="D5" s="49" t="s">
        <v>181</v>
      </c>
      <c r="E5" s="49" t="s">
        <v>183</v>
      </c>
      <c r="F5" s="49" t="s">
        <v>184</v>
      </c>
      <c r="G5" s="49" t="s">
        <v>138</v>
      </c>
      <c r="H5" s="49" t="s">
        <v>139</v>
      </c>
      <c r="I5" s="49" t="s">
        <v>40</v>
      </c>
      <c r="J5" s="49" t="s">
        <v>41</v>
      </c>
      <c r="K5" s="49" t="s">
        <v>43</v>
      </c>
      <c r="L5" s="49" t="s">
        <v>44</v>
      </c>
      <c r="M5" s="49" t="s">
        <v>188</v>
      </c>
      <c r="N5" s="49" t="s">
        <v>189</v>
      </c>
      <c r="O5" s="49" t="s">
        <v>49</v>
      </c>
      <c r="P5" s="49" t="s">
        <v>140</v>
      </c>
      <c r="Q5" s="49" t="s">
        <v>141</v>
      </c>
      <c r="R5" s="51" t="s">
        <v>39</v>
      </c>
      <c r="S5" s="51" t="s">
        <v>191</v>
      </c>
      <c r="T5" s="51" t="s">
        <v>192</v>
      </c>
      <c r="U5" s="51" t="s">
        <v>193</v>
      </c>
      <c r="V5" s="51" t="s">
        <v>132</v>
      </c>
      <c r="W5" s="51" t="s">
        <v>194</v>
      </c>
      <c r="X5" s="51" t="s">
        <v>48</v>
      </c>
      <c r="Y5" s="51" t="s">
        <v>195</v>
      </c>
      <c r="Z5" s="51" t="s">
        <v>197</v>
      </c>
    </row>
    <row r="6" ht="21.75" customHeight="1">
      <c r="A6" s="52"/>
      <c r="B6" s="53"/>
      <c r="C6" s="53"/>
      <c r="D6" s="53"/>
      <c r="E6" s="54"/>
      <c r="F6" s="54"/>
      <c r="G6" s="54"/>
      <c r="H6" s="54"/>
      <c r="I6" s="54"/>
      <c r="J6" s="54"/>
      <c r="K6" s="54"/>
      <c r="L6" s="54"/>
      <c r="M6" s="50"/>
      <c r="N6" s="50"/>
      <c r="O6" s="54"/>
      <c r="P6" s="55"/>
      <c r="Q6" s="55"/>
      <c r="R6" s="56"/>
      <c r="S6" s="57"/>
      <c r="T6" s="57"/>
      <c r="U6" s="57"/>
      <c r="V6" s="56"/>
      <c r="W6" s="56"/>
      <c r="X6" s="57"/>
      <c r="Y6" s="56"/>
      <c r="Z6" s="56"/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P6">
    <cfRule type="cellIs" dxfId="7" priority="1" operator="greaterThan">
      <formula>0</formula>
    </cfRule>
  </conditionalFormatting>
  <dataValidations>
    <dataValidation type="list" allowBlank="1" sqref="B6">
      <formula1>"Upper,Lower,Full Body"</formula1>
    </dataValidation>
    <dataValidation type="decimal" allowBlank="1" sqref="E6:L6">
      <formula1>0.0</formula1>
      <formula2>1500.0</formula2>
    </dataValidation>
    <dataValidation type="list" allowBlank="1" sqref="C6">
      <formula1>ListaExercicios</formula1>
    </dataValidation>
    <dataValidation type="decimal" allowBlank="1" sqref="O6:P6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0"/>
    <col customWidth="1" min="2" max="2" width="35.0"/>
    <col customWidth="1" min="3" max="3" width="14.0"/>
    <col customWidth="1" min="4" max="5" width="12.0"/>
    <col customWidth="1" min="6" max="6" width="14.0"/>
    <col customWidth="1" min="7" max="7" width="16.0"/>
    <col customWidth="1" min="8" max="8" width="14.0"/>
    <col customWidth="1" min="9" max="9" width="12.0"/>
    <col customWidth="1" min="10" max="10" width="72.0"/>
    <col customWidth="1" min="11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</row>
    <row r="2" ht="21.75" customHeight="1">
      <c r="A2" s="5" t="s">
        <v>229</v>
      </c>
      <c r="B2" s="4"/>
      <c r="C2" s="4"/>
      <c r="D2" s="4"/>
      <c r="E2" s="4"/>
      <c r="F2" s="4"/>
      <c r="G2" s="4"/>
      <c r="H2" s="4"/>
      <c r="I2" s="4"/>
      <c r="J2" s="4"/>
    </row>
    <row r="3" ht="21.75" customHeight="1">
      <c r="A3" s="6" t="s">
        <v>230</v>
      </c>
      <c r="B3" s="4"/>
      <c r="C3" s="4"/>
      <c r="D3" s="4"/>
      <c r="E3" s="4"/>
      <c r="F3" s="4"/>
      <c r="G3" s="4"/>
      <c r="H3" s="4"/>
      <c r="I3" s="4"/>
      <c r="J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ht="37.5" customHeight="1">
      <c r="A5" s="7" t="s">
        <v>100</v>
      </c>
      <c r="B5" s="7" t="s">
        <v>114</v>
      </c>
      <c r="C5" s="7" t="s">
        <v>115</v>
      </c>
      <c r="D5" s="7" t="s">
        <v>112</v>
      </c>
      <c r="E5" s="7" t="s">
        <v>116</v>
      </c>
      <c r="F5" s="7" t="s">
        <v>157</v>
      </c>
      <c r="G5" s="7" t="s">
        <v>231</v>
      </c>
      <c r="H5" s="7" t="s">
        <v>161</v>
      </c>
      <c r="I5" s="7" t="s">
        <v>232</v>
      </c>
      <c r="J5" s="7" t="s">
        <v>233</v>
      </c>
    </row>
    <row r="6" ht="21.75" customHeight="1">
      <c r="A6" s="59" t="s">
        <v>109</v>
      </c>
      <c r="B6" s="60" t="s">
        <v>234</v>
      </c>
      <c r="C6" s="61">
        <v>150.0</v>
      </c>
      <c r="D6" s="62" t="str">
        <f>VLOOKUP(B6,Alimentos!$A:$L,2,FALSE)</f>
        <v>g</v>
      </c>
      <c r="E6" s="62">
        <f>C6/VLOOKUP(B6,Alimentos!$A:$L,3,FALSE)*VLOOKUP(B6,Alimentos!$A:$L,4,FALSE)</f>
        <v>214.5</v>
      </c>
      <c r="F6" s="62">
        <f>C6/VLOOKUP(B6,Alimentos!$A:$L,3,FALSE)*VLOOKUP(B6,Alimentos!$A:$L,5,FALSE)</f>
        <v>19.5</v>
      </c>
      <c r="G6" s="62">
        <f>C6/VLOOKUP(B6,Alimentos!$A:$L,3,FALSE)*VLOOKUP(B6,Alimentos!$A:$L,6,FALSE)</f>
        <v>2.4</v>
      </c>
      <c r="H6" s="62">
        <f>C6/VLOOKUP(B6,Alimentos!$A:$L,3,FALSE)*VLOOKUP(B6,Alimentos!$A:$L,7,FALSE)</f>
        <v>13.35</v>
      </c>
      <c r="I6" s="62">
        <f>C6/VLOOKUP(B6,Alimentos!$A:$L,3,FALSE)*VLOOKUP(B6,Alimentos!$A:$L,8,FALSE)</f>
        <v>0</v>
      </c>
      <c r="J6" s="60" t="s">
        <v>240</v>
      </c>
    </row>
    <row r="7" ht="21.75" customHeight="1">
      <c r="A7" s="60" t="s">
        <v>109</v>
      </c>
      <c r="B7" s="60" t="s">
        <v>241</v>
      </c>
      <c r="C7" s="61">
        <v>5.0</v>
      </c>
      <c r="D7" s="62" t="str">
        <f>VLOOKUP(B7,Alimentos!$A:$L,2,FALSE)</f>
        <v>g</v>
      </c>
      <c r="E7" s="62">
        <f>C7/VLOOKUP(B7,Alimentos!$A:$L,3,FALSE)*VLOOKUP(B7,Alimentos!$A:$L,4,FALSE)</f>
        <v>36</v>
      </c>
      <c r="F7" s="62">
        <f>C7/VLOOKUP(B7,Alimentos!$A:$L,3,FALSE)*VLOOKUP(B7,Alimentos!$A:$L,5,FALSE)</f>
        <v>0</v>
      </c>
      <c r="G7" s="62">
        <f>C7/VLOOKUP(B7,Alimentos!$A:$L,3,FALSE)*VLOOKUP(B7,Alimentos!$A:$L,6,FALSE)</f>
        <v>0</v>
      </c>
      <c r="H7" s="62">
        <f>C7/VLOOKUP(B7,Alimentos!$A:$L,3,FALSE)*VLOOKUP(B7,Alimentos!$A:$L,7,FALSE)</f>
        <v>4</v>
      </c>
      <c r="I7" s="62">
        <f>C7/VLOOKUP(B7,Alimentos!$A:$L,3,FALSE)*VLOOKUP(B7,Alimentos!$A:$L,8,FALSE)</f>
        <v>0</v>
      </c>
      <c r="J7" s="60" t="s">
        <v>260</v>
      </c>
    </row>
    <row r="8" ht="21.75" customHeight="1">
      <c r="A8" s="59" t="s">
        <v>109</v>
      </c>
      <c r="B8" s="59" t="s">
        <v>261</v>
      </c>
      <c r="C8" s="63">
        <v>50.0</v>
      </c>
      <c r="D8" s="31" t="str">
        <f>VLOOKUP(B8,Alimentos!$A:$L,2,FALSE)</f>
        <v>g</v>
      </c>
      <c r="E8" s="31">
        <f>C8/VLOOKUP(B8,Alimentos!$A:$L,3,FALSE)*VLOOKUP(B8,Alimentos!$A:$L,4,FALSE)</f>
        <v>126.5</v>
      </c>
      <c r="F8" s="31">
        <f>C8/VLOOKUP(B8,Alimentos!$A:$L,3,FALSE)*VLOOKUP(B8,Alimentos!$A:$L,5,FALSE)</f>
        <v>4.7</v>
      </c>
      <c r="G8" s="31">
        <f>C8/VLOOKUP(B8,Alimentos!$A:$L,3,FALSE)*VLOOKUP(B8,Alimentos!$A:$L,6,FALSE)</f>
        <v>24.95</v>
      </c>
      <c r="H8" s="31">
        <f>C8/VLOOKUP(B8,Alimentos!$A:$L,3,FALSE)*VLOOKUP(B8,Alimentos!$A:$L,7,FALSE)</f>
        <v>1.85</v>
      </c>
      <c r="I8" s="31">
        <f>C8/VLOOKUP(B8,Alimentos!$A:$L,3,FALSE)*VLOOKUP(B8,Alimentos!$A:$L,8,FALSE)</f>
        <v>3.45</v>
      </c>
      <c r="J8" s="59" t="s">
        <v>266</v>
      </c>
    </row>
    <row r="9" ht="21.75" customHeight="1">
      <c r="A9" s="59" t="s">
        <v>109</v>
      </c>
      <c r="B9" s="59" t="s">
        <v>267</v>
      </c>
      <c r="C9" s="63">
        <v>100.0</v>
      </c>
      <c r="D9" s="31" t="str">
        <f>VLOOKUP(B9,Alimentos!$A:$L,2,FALSE)</f>
        <v>g</v>
      </c>
      <c r="E9" s="31">
        <f>C9/VLOOKUP(B9,Alimentos!$A:$L,3,FALSE)*VLOOKUP(B9,Alimentos!$A:$L,4,FALSE)</f>
        <v>92</v>
      </c>
      <c r="F9" s="31">
        <f>C9/VLOOKUP(B9,Alimentos!$A:$L,3,FALSE)*VLOOKUP(B9,Alimentos!$A:$L,5,FALSE)</f>
        <v>1.4</v>
      </c>
      <c r="G9" s="31">
        <f>C9/VLOOKUP(B9,Alimentos!$A:$L,3,FALSE)*VLOOKUP(B9,Alimentos!$A:$L,6,FALSE)</f>
        <v>23.8</v>
      </c>
      <c r="H9" s="31">
        <f>C9/VLOOKUP(B9,Alimentos!$A:$L,3,FALSE)*VLOOKUP(B9,Alimentos!$A:$L,7,FALSE)</f>
        <v>0.1</v>
      </c>
      <c r="I9" s="31">
        <f>C9/VLOOKUP(B9,Alimentos!$A:$L,3,FALSE)*VLOOKUP(B9,Alimentos!$A:$L,8,FALSE)</f>
        <v>1.9</v>
      </c>
      <c r="J9" s="59"/>
    </row>
    <row r="10" ht="21.75" customHeight="1">
      <c r="A10" s="59" t="s">
        <v>109</v>
      </c>
      <c r="B10" s="59" t="s">
        <v>269</v>
      </c>
      <c r="C10" s="63">
        <v>20.0</v>
      </c>
      <c r="D10" s="31" t="str">
        <f>VLOOKUP(B10,Alimentos!$A:$L,2,FALSE)</f>
        <v>g</v>
      </c>
      <c r="E10" s="31">
        <f>C10/VLOOKUP(B10,Alimentos!$A:$L,3,FALSE)*VLOOKUP(B10,Alimentos!$A:$L,4,FALSE)</f>
        <v>52.8</v>
      </c>
      <c r="F10" s="31">
        <f>C10/VLOOKUP(B10,Alimentos!$A:$L,3,FALSE)*VLOOKUP(B10,Alimentos!$A:$L,5,FALSE)</f>
        <v>3.48</v>
      </c>
      <c r="G10" s="31">
        <f>C10/VLOOKUP(B10,Alimentos!$A:$L,3,FALSE)*VLOOKUP(B10,Alimentos!$A:$L,6,FALSE)</f>
        <v>0.64</v>
      </c>
      <c r="H10" s="31">
        <f>C10/VLOOKUP(B10,Alimentos!$A:$L,3,FALSE)*VLOOKUP(B10,Alimentos!$A:$L,7,FALSE)</f>
        <v>4.04</v>
      </c>
      <c r="I10" s="31">
        <f>C10/VLOOKUP(B10,Alimentos!$A:$L,3,FALSE)*VLOOKUP(B10,Alimentos!$A:$L,8,FALSE)</f>
        <v>0</v>
      </c>
      <c r="J10" s="59"/>
    </row>
    <row r="11" ht="21.75" customHeight="1">
      <c r="A11" s="59" t="s">
        <v>109</v>
      </c>
      <c r="B11" s="59" t="s">
        <v>271</v>
      </c>
      <c r="C11" s="63">
        <v>200.0</v>
      </c>
      <c r="D11" s="31" t="str">
        <f>VLOOKUP(B11,Alimentos!$A:$L,2,FALSE)</f>
        <v>ml</v>
      </c>
      <c r="E11" s="31">
        <f>C11/VLOOKUP(B11,Alimentos!$A:$L,3,FALSE)*VLOOKUP(B11,Alimentos!$A:$L,4,FALSE)</f>
        <v>122</v>
      </c>
      <c r="F11" s="31">
        <f>C11/VLOOKUP(B11,Alimentos!$A:$L,3,FALSE)*VLOOKUP(B11,Alimentos!$A:$L,5,FALSE)</f>
        <v>6.4</v>
      </c>
      <c r="G11" s="31">
        <f>C11/VLOOKUP(B11,Alimentos!$A:$L,3,FALSE)*VLOOKUP(B11,Alimentos!$A:$L,6,FALSE)</f>
        <v>9.4</v>
      </c>
      <c r="H11" s="31">
        <f>C11/VLOOKUP(B11,Alimentos!$A:$L,3,FALSE)*VLOOKUP(B11,Alimentos!$A:$L,7,FALSE)</f>
        <v>6.6</v>
      </c>
      <c r="I11" s="31">
        <f>C11/VLOOKUP(B11,Alimentos!$A:$L,3,FALSE)*VLOOKUP(B11,Alimentos!$A:$L,8,FALSE)</f>
        <v>0</v>
      </c>
      <c r="J11" s="59"/>
    </row>
    <row r="12" ht="21.75" customHeight="1">
      <c r="A12" s="59" t="s">
        <v>273</v>
      </c>
      <c r="B12" s="59" t="s">
        <v>274</v>
      </c>
      <c r="C12" s="63">
        <v>200.0</v>
      </c>
      <c r="D12" s="31" t="str">
        <f>VLOOKUP(B12,Alimentos!$A:$L,2,FALSE)</f>
        <v>g</v>
      </c>
      <c r="E12" s="31">
        <f>C12/VLOOKUP(B12,Alimentos!$A:$L,3,FALSE)*VLOOKUP(B12,Alimentos!$A:$L,4,FALSE)</f>
        <v>256</v>
      </c>
      <c r="F12" s="31">
        <f>C12/VLOOKUP(B12,Alimentos!$A:$L,3,FALSE)*VLOOKUP(B12,Alimentos!$A:$L,5,FALSE)</f>
        <v>5</v>
      </c>
      <c r="G12" s="31">
        <f>C12/VLOOKUP(B12,Alimentos!$A:$L,3,FALSE)*VLOOKUP(B12,Alimentos!$A:$L,6,FALSE)</f>
        <v>56.2</v>
      </c>
      <c r="H12" s="31">
        <f>C12/VLOOKUP(B12,Alimentos!$A:$L,3,FALSE)*VLOOKUP(B12,Alimentos!$A:$L,7,FALSE)</f>
        <v>0.4</v>
      </c>
      <c r="I12" s="31">
        <f>C12/VLOOKUP(B12,Alimentos!$A:$L,3,FALSE)*VLOOKUP(B12,Alimentos!$A:$L,8,FALSE)</f>
        <v>3.2</v>
      </c>
      <c r="J12" s="59" t="s">
        <v>277</v>
      </c>
    </row>
    <row r="13" ht="21.75" customHeight="1">
      <c r="A13" s="59" t="s">
        <v>273</v>
      </c>
      <c r="B13" s="59" t="s">
        <v>278</v>
      </c>
      <c r="C13" s="63">
        <v>100.0</v>
      </c>
      <c r="D13" s="31" t="str">
        <f>VLOOKUP(B13,Alimentos!$A:$L,2,FALSE)</f>
        <v>g</v>
      </c>
      <c r="E13" s="31">
        <f>C13/VLOOKUP(B13,Alimentos!$A:$L,3,FALSE)*VLOOKUP(B13,Alimentos!$A:$L,4,FALSE)</f>
        <v>76</v>
      </c>
      <c r="F13" s="31">
        <f>C13/VLOOKUP(B13,Alimentos!$A:$L,3,FALSE)*VLOOKUP(B13,Alimentos!$A:$L,5,FALSE)</f>
        <v>4.8</v>
      </c>
      <c r="G13" s="31">
        <f>C13/VLOOKUP(B13,Alimentos!$A:$L,3,FALSE)*VLOOKUP(B13,Alimentos!$A:$L,6,FALSE)</f>
        <v>13.6</v>
      </c>
      <c r="H13" s="31">
        <f>C13/VLOOKUP(B13,Alimentos!$A:$L,3,FALSE)*VLOOKUP(B13,Alimentos!$A:$L,7,FALSE)</f>
        <v>0.5</v>
      </c>
      <c r="I13" s="31">
        <f>C13/VLOOKUP(B13,Alimentos!$A:$L,3,FALSE)*VLOOKUP(B13,Alimentos!$A:$L,8,FALSE)</f>
        <v>8.5</v>
      </c>
      <c r="J13" s="59"/>
    </row>
    <row r="14" ht="21.75" customHeight="1">
      <c r="A14" s="59" t="s">
        <v>273</v>
      </c>
      <c r="B14" s="59" t="s">
        <v>254</v>
      </c>
      <c r="C14" s="63">
        <v>100.0</v>
      </c>
      <c r="D14" s="31" t="str">
        <f>VLOOKUP(B14,Alimentos!$A:$L,2,FALSE)</f>
        <v>g</v>
      </c>
      <c r="E14" s="31">
        <f>C14/VLOOKUP(B14,Alimentos!$A:$L,3,FALSE)*VLOOKUP(B14,Alimentos!$A:$L,4,FALSE)</f>
        <v>163</v>
      </c>
      <c r="F14" s="31">
        <f>C14/VLOOKUP(B14,Alimentos!$A:$L,3,FALSE)*VLOOKUP(B14,Alimentos!$A:$L,5,FALSE)</f>
        <v>31.5</v>
      </c>
      <c r="G14" s="31">
        <f>C14/VLOOKUP(B14,Alimentos!$A:$L,3,FALSE)*VLOOKUP(B14,Alimentos!$A:$L,6,FALSE)</f>
        <v>0</v>
      </c>
      <c r="H14" s="31">
        <f>C14/VLOOKUP(B14,Alimentos!$A:$L,3,FALSE)*VLOOKUP(B14,Alimentos!$A:$L,7,FALSE)</f>
        <v>3.2</v>
      </c>
      <c r="I14" s="31">
        <f>C14/VLOOKUP(B14,Alimentos!$A:$L,3,FALSE)*VLOOKUP(B14,Alimentos!$A:$L,8,FALSE)</f>
        <v>0</v>
      </c>
      <c r="J14" s="59" t="s">
        <v>280</v>
      </c>
    </row>
    <row r="15" ht="21.75" customHeight="1">
      <c r="A15" s="59" t="s">
        <v>273</v>
      </c>
      <c r="B15" s="59" t="s">
        <v>281</v>
      </c>
      <c r="C15" s="63">
        <v>100.0</v>
      </c>
      <c r="D15" s="31" t="str">
        <f>VLOOKUP(B15,Alimentos!$A:$L,2,FALSE)</f>
        <v>g</v>
      </c>
      <c r="E15" s="31">
        <f>C15/VLOOKUP(B15,Alimentos!$A:$L,3,FALSE)*VLOOKUP(B15,Alimentos!$A:$L,4,FALSE)</f>
        <v>30</v>
      </c>
      <c r="F15" s="31">
        <f>C15/VLOOKUP(B15,Alimentos!$A:$L,3,FALSE)*VLOOKUP(B15,Alimentos!$A:$L,5,FALSE)</f>
        <v>0.8</v>
      </c>
      <c r="G15" s="31">
        <f>C15/VLOOKUP(B15,Alimentos!$A:$L,3,FALSE)*VLOOKUP(B15,Alimentos!$A:$L,6,FALSE)</f>
        <v>6.7</v>
      </c>
      <c r="H15" s="31">
        <f>C15/VLOOKUP(B15,Alimentos!$A:$L,3,FALSE)*VLOOKUP(B15,Alimentos!$A:$L,7,FALSE)</f>
        <v>0.2</v>
      </c>
      <c r="I15" s="31">
        <f>C15/VLOOKUP(B15,Alimentos!$A:$L,3,FALSE)*VLOOKUP(B15,Alimentos!$A:$L,8,FALSE)</f>
        <v>2.6</v>
      </c>
      <c r="J15" s="59" t="s">
        <v>282</v>
      </c>
    </row>
    <row r="16" ht="21.75" customHeight="1">
      <c r="A16" s="59" t="s">
        <v>273</v>
      </c>
      <c r="B16" s="59" t="s">
        <v>283</v>
      </c>
      <c r="C16" s="63">
        <v>50.0</v>
      </c>
      <c r="D16" s="31" t="str">
        <f>VLOOKUP(B16,Alimentos!$A:$L,2,FALSE)</f>
        <v>g</v>
      </c>
      <c r="E16" s="31">
        <f>C16/VLOOKUP(B16,Alimentos!$A:$L,3,FALSE)*VLOOKUP(B16,Alimentos!$A:$L,4,FALSE)</f>
        <v>5.5</v>
      </c>
      <c r="F16" s="31">
        <f>C16/VLOOKUP(B16,Alimentos!$A:$L,3,FALSE)*VLOOKUP(B16,Alimentos!$A:$L,5,FALSE)</f>
        <v>0.65</v>
      </c>
      <c r="G16" s="31">
        <f>C16/VLOOKUP(B16,Alimentos!$A:$L,3,FALSE)*VLOOKUP(B16,Alimentos!$A:$L,6,FALSE)</f>
        <v>0.85</v>
      </c>
      <c r="H16" s="31">
        <f>C16/VLOOKUP(B16,Alimentos!$A:$L,3,FALSE)*VLOOKUP(B16,Alimentos!$A:$L,7,FALSE)</f>
        <v>0.1</v>
      </c>
      <c r="I16" s="31">
        <f>C16/VLOOKUP(B16,Alimentos!$A:$L,3,FALSE)*VLOOKUP(B16,Alimentos!$A:$L,8,FALSE)</f>
        <v>0.9</v>
      </c>
      <c r="J16" s="59"/>
    </row>
    <row r="17" ht="21.75" customHeight="1">
      <c r="A17" s="59" t="s">
        <v>273</v>
      </c>
      <c r="B17" s="59" t="s">
        <v>284</v>
      </c>
      <c r="C17" s="63">
        <v>10.0</v>
      </c>
      <c r="D17" s="31" t="str">
        <f>VLOOKUP(B17,Alimentos!$A:$L,2,FALSE)</f>
        <v>g</v>
      </c>
      <c r="E17" s="31">
        <f>C17/VLOOKUP(B17,Alimentos!$A:$L,3,FALSE)*VLOOKUP(B17,Alimentos!$A:$L,4,FALSE)</f>
        <v>88.4</v>
      </c>
      <c r="F17" s="31">
        <f>C17/VLOOKUP(B17,Alimentos!$A:$L,3,FALSE)*VLOOKUP(B17,Alimentos!$A:$L,5,FALSE)</f>
        <v>0</v>
      </c>
      <c r="G17" s="31">
        <f>C17/VLOOKUP(B17,Alimentos!$A:$L,3,FALSE)*VLOOKUP(B17,Alimentos!$A:$L,6,FALSE)</f>
        <v>0</v>
      </c>
      <c r="H17" s="31">
        <f>C17/VLOOKUP(B17,Alimentos!$A:$L,3,FALSE)*VLOOKUP(B17,Alimentos!$A:$L,7,FALSE)</f>
        <v>10</v>
      </c>
      <c r="I17" s="31">
        <f>C17/VLOOKUP(B17,Alimentos!$A:$L,3,FALSE)*VLOOKUP(B17,Alimentos!$A:$L,8,FALSE)</f>
        <v>0</v>
      </c>
      <c r="J17" s="59" t="s">
        <v>286</v>
      </c>
    </row>
    <row r="18" ht="21.75" customHeight="1">
      <c r="A18" s="59" t="s">
        <v>273</v>
      </c>
      <c r="B18" s="59" t="s">
        <v>287</v>
      </c>
      <c r="C18" s="63">
        <v>150.0</v>
      </c>
      <c r="D18" s="31" t="str">
        <f>VLOOKUP(B18,Alimentos!$A:$L,2,FALSE)</f>
        <v>g</v>
      </c>
      <c r="E18" s="31">
        <f>C18/VLOOKUP(B18,Alimentos!$A:$L,3,FALSE)*VLOOKUP(B18,Alimentos!$A:$L,4,FALSE)</f>
        <v>55.5</v>
      </c>
      <c r="F18" s="31">
        <f>C18/VLOOKUP(B18,Alimentos!$A:$L,3,FALSE)*VLOOKUP(B18,Alimentos!$A:$L,5,FALSE)</f>
        <v>1.5</v>
      </c>
      <c r="G18" s="31">
        <f>C18/VLOOKUP(B18,Alimentos!$A:$L,3,FALSE)*VLOOKUP(B18,Alimentos!$A:$L,6,FALSE)</f>
        <v>13.35</v>
      </c>
      <c r="H18" s="31">
        <f>C18/VLOOKUP(B18,Alimentos!$A:$L,3,FALSE)*VLOOKUP(B18,Alimentos!$A:$L,7,FALSE)</f>
        <v>0.15</v>
      </c>
      <c r="I18" s="31">
        <f>C18/VLOOKUP(B18,Alimentos!$A:$L,3,FALSE)*VLOOKUP(B18,Alimentos!$A:$L,8,FALSE)</f>
        <v>1.2</v>
      </c>
      <c r="J18" s="59"/>
    </row>
    <row r="19" ht="21.75" customHeight="1">
      <c r="A19" s="59" t="s">
        <v>289</v>
      </c>
      <c r="B19" s="59" t="s">
        <v>274</v>
      </c>
      <c r="C19" s="63">
        <v>200.0</v>
      </c>
      <c r="D19" s="31" t="str">
        <f>VLOOKUP(B19,Alimentos!$A:$L,2,FALSE)</f>
        <v>g</v>
      </c>
      <c r="E19" s="31">
        <f>C19/VLOOKUP(B19,Alimentos!$A:$L,3,FALSE)*VLOOKUP(B19,Alimentos!$A:$L,4,FALSE)</f>
        <v>256</v>
      </c>
      <c r="F19" s="31">
        <f>C19/VLOOKUP(B19,Alimentos!$A:$L,3,FALSE)*VLOOKUP(B19,Alimentos!$A:$L,5,FALSE)</f>
        <v>5</v>
      </c>
      <c r="G19" s="31">
        <f>C19/VLOOKUP(B19,Alimentos!$A:$L,3,FALSE)*VLOOKUP(B19,Alimentos!$A:$L,6,FALSE)</f>
        <v>56.2</v>
      </c>
      <c r="H19" s="31">
        <f>C19/VLOOKUP(B19,Alimentos!$A:$L,3,FALSE)*VLOOKUP(B19,Alimentos!$A:$L,7,FALSE)</f>
        <v>0.4</v>
      </c>
      <c r="I19" s="31">
        <f>C19/VLOOKUP(B19,Alimentos!$A:$L,3,FALSE)*VLOOKUP(B19,Alimentos!$A:$L,8,FALSE)</f>
        <v>3.2</v>
      </c>
      <c r="J19" s="59" t="s">
        <v>277</v>
      </c>
    </row>
    <row r="20" ht="21.75" customHeight="1">
      <c r="A20" s="59" t="s">
        <v>289</v>
      </c>
      <c r="B20" s="59" t="s">
        <v>278</v>
      </c>
      <c r="C20" s="63">
        <v>100.0</v>
      </c>
      <c r="D20" s="31" t="str">
        <f>VLOOKUP(B20,Alimentos!$A:$L,2,FALSE)</f>
        <v>g</v>
      </c>
      <c r="E20" s="31">
        <f>C20/VLOOKUP(B20,Alimentos!$A:$L,3,FALSE)*VLOOKUP(B20,Alimentos!$A:$L,4,FALSE)</f>
        <v>76</v>
      </c>
      <c r="F20" s="31">
        <f>C20/VLOOKUP(B20,Alimentos!$A:$L,3,FALSE)*VLOOKUP(B20,Alimentos!$A:$L,5,FALSE)</f>
        <v>4.8</v>
      </c>
      <c r="G20" s="31">
        <f>C20/VLOOKUP(B20,Alimentos!$A:$L,3,FALSE)*VLOOKUP(B20,Alimentos!$A:$L,6,FALSE)</f>
        <v>13.6</v>
      </c>
      <c r="H20" s="31">
        <f>C20/VLOOKUP(B20,Alimentos!$A:$L,3,FALSE)*VLOOKUP(B20,Alimentos!$A:$L,7,FALSE)</f>
        <v>0.5</v>
      </c>
      <c r="I20" s="31">
        <f>C20/VLOOKUP(B20,Alimentos!$A:$L,3,FALSE)*VLOOKUP(B20,Alimentos!$A:$L,8,FALSE)</f>
        <v>8.5</v>
      </c>
      <c r="J20" s="59"/>
    </row>
    <row r="21" ht="21.75" customHeight="1">
      <c r="A21" s="59" t="s">
        <v>289</v>
      </c>
      <c r="B21" s="59" t="s">
        <v>254</v>
      </c>
      <c r="C21" s="63">
        <v>100.0</v>
      </c>
      <c r="D21" s="31" t="str">
        <f>VLOOKUP(B21,Alimentos!$A:$L,2,FALSE)</f>
        <v>g</v>
      </c>
      <c r="E21" s="31">
        <f>C21/VLOOKUP(B21,Alimentos!$A:$L,3,FALSE)*VLOOKUP(B21,Alimentos!$A:$L,4,FALSE)</f>
        <v>163</v>
      </c>
      <c r="F21" s="31">
        <f>C21/VLOOKUP(B21,Alimentos!$A:$L,3,FALSE)*VLOOKUP(B21,Alimentos!$A:$L,5,FALSE)</f>
        <v>31.5</v>
      </c>
      <c r="G21" s="31">
        <f>C21/VLOOKUP(B21,Alimentos!$A:$L,3,FALSE)*VLOOKUP(B21,Alimentos!$A:$L,6,FALSE)</f>
        <v>0</v>
      </c>
      <c r="H21" s="31">
        <f>C21/VLOOKUP(B21,Alimentos!$A:$L,3,FALSE)*VLOOKUP(B21,Alimentos!$A:$L,7,FALSE)</f>
        <v>3.2</v>
      </c>
      <c r="I21" s="31">
        <f>C21/VLOOKUP(B21,Alimentos!$A:$L,3,FALSE)*VLOOKUP(B21,Alimentos!$A:$L,8,FALSE)</f>
        <v>0</v>
      </c>
      <c r="J21" s="59" t="s">
        <v>280</v>
      </c>
    </row>
    <row r="22" ht="21.75" customHeight="1">
      <c r="A22" s="59" t="s">
        <v>289</v>
      </c>
      <c r="B22" s="59" t="s">
        <v>281</v>
      </c>
      <c r="C22" s="63">
        <v>100.0</v>
      </c>
      <c r="D22" s="31" t="str">
        <f>VLOOKUP(B22,Alimentos!$A:$L,2,FALSE)</f>
        <v>g</v>
      </c>
      <c r="E22" s="31">
        <f>C22/VLOOKUP(B22,Alimentos!$A:$L,3,FALSE)*VLOOKUP(B22,Alimentos!$A:$L,4,FALSE)</f>
        <v>30</v>
      </c>
      <c r="F22" s="31">
        <f>C22/VLOOKUP(B22,Alimentos!$A:$L,3,FALSE)*VLOOKUP(B22,Alimentos!$A:$L,5,FALSE)</f>
        <v>0.8</v>
      </c>
      <c r="G22" s="31">
        <f>C22/VLOOKUP(B22,Alimentos!$A:$L,3,FALSE)*VLOOKUP(B22,Alimentos!$A:$L,6,FALSE)</f>
        <v>6.7</v>
      </c>
      <c r="H22" s="31">
        <f>C22/VLOOKUP(B22,Alimentos!$A:$L,3,FALSE)*VLOOKUP(B22,Alimentos!$A:$L,7,FALSE)</f>
        <v>0.2</v>
      </c>
      <c r="I22" s="31">
        <f>C22/VLOOKUP(B22,Alimentos!$A:$L,3,FALSE)*VLOOKUP(B22,Alimentos!$A:$L,8,FALSE)</f>
        <v>2.6</v>
      </c>
      <c r="J22" s="59" t="s">
        <v>282</v>
      </c>
    </row>
    <row r="23" ht="21.75" customHeight="1">
      <c r="A23" s="59" t="s">
        <v>289</v>
      </c>
      <c r="B23" s="59" t="s">
        <v>283</v>
      </c>
      <c r="C23" s="63">
        <v>50.0</v>
      </c>
      <c r="D23" s="31" t="str">
        <f>VLOOKUP(B23,Alimentos!$A:$L,2,FALSE)</f>
        <v>g</v>
      </c>
      <c r="E23" s="31">
        <f>C23/VLOOKUP(B23,Alimentos!$A:$L,3,FALSE)*VLOOKUP(B23,Alimentos!$A:$L,4,FALSE)</f>
        <v>5.5</v>
      </c>
      <c r="F23" s="31">
        <f>C23/VLOOKUP(B23,Alimentos!$A:$L,3,FALSE)*VLOOKUP(B23,Alimentos!$A:$L,5,FALSE)</f>
        <v>0.65</v>
      </c>
      <c r="G23" s="31">
        <f>C23/VLOOKUP(B23,Alimentos!$A:$L,3,FALSE)*VLOOKUP(B23,Alimentos!$A:$L,6,FALSE)</f>
        <v>0.85</v>
      </c>
      <c r="H23" s="31">
        <f>C23/VLOOKUP(B23,Alimentos!$A:$L,3,FALSE)*VLOOKUP(B23,Alimentos!$A:$L,7,FALSE)</f>
        <v>0.1</v>
      </c>
      <c r="I23" s="31">
        <f>C23/VLOOKUP(B23,Alimentos!$A:$L,3,FALSE)*VLOOKUP(B23,Alimentos!$A:$L,8,FALSE)</f>
        <v>0.9</v>
      </c>
      <c r="J23" s="59"/>
    </row>
    <row r="24" ht="21.75" customHeight="1">
      <c r="A24" s="59" t="s">
        <v>289</v>
      </c>
      <c r="B24" s="59" t="s">
        <v>284</v>
      </c>
      <c r="C24" s="63">
        <v>10.0</v>
      </c>
      <c r="D24" s="31" t="str">
        <f>VLOOKUP(B24,Alimentos!$A:$L,2,FALSE)</f>
        <v>g</v>
      </c>
      <c r="E24" s="31">
        <f>C24/VLOOKUP(B24,Alimentos!$A:$L,3,FALSE)*VLOOKUP(B24,Alimentos!$A:$L,4,FALSE)</f>
        <v>88.4</v>
      </c>
      <c r="F24" s="31">
        <f>C24/VLOOKUP(B24,Alimentos!$A:$L,3,FALSE)*VLOOKUP(B24,Alimentos!$A:$L,5,FALSE)</f>
        <v>0</v>
      </c>
      <c r="G24" s="31">
        <f>C24/VLOOKUP(B24,Alimentos!$A:$L,3,FALSE)*VLOOKUP(B24,Alimentos!$A:$L,6,FALSE)</f>
        <v>0</v>
      </c>
      <c r="H24" s="31">
        <f>C24/VLOOKUP(B24,Alimentos!$A:$L,3,FALSE)*VLOOKUP(B24,Alimentos!$A:$L,7,FALSE)</f>
        <v>10</v>
      </c>
      <c r="I24" s="31">
        <f>C24/VLOOKUP(B24,Alimentos!$A:$L,3,FALSE)*VLOOKUP(B24,Alimentos!$A:$L,8,FALSE)</f>
        <v>0</v>
      </c>
      <c r="J24" s="59" t="s">
        <v>286</v>
      </c>
    </row>
    <row r="25" ht="21.75" customHeight="1">
      <c r="A25" s="59" t="s">
        <v>309</v>
      </c>
      <c r="B25" s="59" t="s">
        <v>276</v>
      </c>
      <c r="C25" s="63">
        <v>10.0</v>
      </c>
      <c r="D25" s="31" t="str">
        <f>VLOOKUP(B25,Alimentos!$A:$L,2,FALSE)</f>
        <v>g</v>
      </c>
      <c r="E25" s="31">
        <f>C25/VLOOKUP(B25,Alimentos!$A:$L,3,FALSE)*VLOOKUP(B25,Alimentos!$A:$L,4,FALSE)</f>
        <v>40</v>
      </c>
      <c r="F25" s="31">
        <f>C25/VLOOKUP(B25,Alimentos!$A:$L,3,FALSE)*VLOOKUP(B25,Alimentos!$A:$L,5,FALSE)</f>
        <v>7.666666667</v>
      </c>
      <c r="G25" s="31">
        <f>C25/VLOOKUP(B25,Alimentos!$A:$L,3,FALSE)*VLOOKUP(B25,Alimentos!$A:$L,6,FALSE)</f>
        <v>1.333333333</v>
      </c>
      <c r="H25" s="31">
        <f>C25/VLOOKUP(B25,Alimentos!$A:$L,3,FALSE)*VLOOKUP(B25,Alimentos!$A:$L,7,FALSE)</f>
        <v>0.4333333333</v>
      </c>
      <c r="I25" s="31">
        <f>C25/VLOOKUP(B25,Alimentos!$A:$L,3,FALSE)*VLOOKUP(B25,Alimentos!$A:$L,8,FALSE)</f>
        <v>0</v>
      </c>
      <c r="J25" s="72" t="s">
        <v>311</v>
      </c>
    </row>
    <row r="26" ht="21.75" customHeight="1">
      <c r="A26" s="59" t="s">
        <v>309</v>
      </c>
      <c r="B26" s="59" t="s">
        <v>271</v>
      </c>
      <c r="C26" s="63">
        <v>200.0</v>
      </c>
      <c r="D26" s="31" t="str">
        <f>VLOOKUP(B26,Alimentos!$A:$L,2,FALSE)</f>
        <v>ml</v>
      </c>
      <c r="E26" s="31">
        <f>C26/VLOOKUP(B26,Alimentos!$A:$L,3,FALSE)*VLOOKUP(B26,Alimentos!$A:$L,4,FALSE)</f>
        <v>122</v>
      </c>
      <c r="F26" s="31">
        <f>C26/VLOOKUP(B26,Alimentos!$A:$L,3,FALSE)*VLOOKUP(B26,Alimentos!$A:$L,5,FALSE)</f>
        <v>6.4</v>
      </c>
      <c r="G26" s="31">
        <f>C26/VLOOKUP(B26,Alimentos!$A:$L,3,FALSE)*VLOOKUP(B26,Alimentos!$A:$L,6,FALSE)</f>
        <v>9.4</v>
      </c>
      <c r="H26" s="31">
        <f>C26/VLOOKUP(B26,Alimentos!$A:$L,3,FALSE)*VLOOKUP(B26,Alimentos!$A:$L,7,FALSE)</f>
        <v>6.6</v>
      </c>
      <c r="I26" s="31">
        <f>C26/VLOOKUP(B26,Alimentos!$A:$L,3,FALSE)*VLOOKUP(B26,Alimentos!$A:$L,8,FALSE)</f>
        <v>0</v>
      </c>
      <c r="J26" s="59"/>
    </row>
    <row r="27" ht="21.75" customHeight="1">
      <c r="A27" s="59" t="s">
        <v>309</v>
      </c>
      <c r="B27" s="59" t="s">
        <v>267</v>
      </c>
      <c r="C27" s="63">
        <v>100.0</v>
      </c>
      <c r="D27" s="31" t="str">
        <f>VLOOKUP(B27,Alimentos!$A:$L,2,FALSE)</f>
        <v>g</v>
      </c>
      <c r="E27" s="31">
        <f>C27/VLOOKUP(B27,Alimentos!$A:$L,3,FALSE)*VLOOKUP(B27,Alimentos!$A:$L,4,FALSE)</f>
        <v>92</v>
      </c>
      <c r="F27" s="31">
        <f>C27/VLOOKUP(B27,Alimentos!$A:$L,3,FALSE)*VLOOKUP(B27,Alimentos!$A:$L,5,FALSE)</f>
        <v>1.4</v>
      </c>
      <c r="G27" s="31">
        <f>C27/VLOOKUP(B27,Alimentos!$A:$L,3,FALSE)*VLOOKUP(B27,Alimentos!$A:$L,6,FALSE)</f>
        <v>23.8</v>
      </c>
      <c r="H27" s="31">
        <f>C27/VLOOKUP(B27,Alimentos!$A:$L,3,FALSE)*VLOOKUP(B27,Alimentos!$A:$L,7,FALSE)</f>
        <v>0.1</v>
      </c>
      <c r="I27" s="31">
        <f>C27/VLOOKUP(B27,Alimentos!$A:$L,3,FALSE)*VLOOKUP(B27,Alimentos!$A:$L,8,FALSE)</f>
        <v>1.9</v>
      </c>
      <c r="J27" s="59"/>
    </row>
    <row r="28" ht="21.75" customHeight="1">
      <c r="A28" s="59" t="s">
        <v>309</v>
      </c>
      <c r="B28" s="59" t="s">
        <v>312</v>
      </c>
      <c r="C28" s="63">
        <v>40.0</v>
      </c>
      <c r="D28" s="31" t="str">
        <f>VLOOKUP(B28,Alimentos!$A:$L,2,FALSE)</f>
        <v>g</v>
      </c>
      <c r="E28" s="31">
        <f>C28/VLOOKUP(B28,Alimentos!$A:$L,3,FALSE)*VLOOKUP(B28,Alimentos!$A:$L,4,FALSE)</f>
        <v>157.6</v>
      </c>
      <c r="F28" s="31">
        <f>C28/VLOOKUP(B28,Alimentos!$A:$L,3,FALSE)*VLOOKUP(B28,Alimentos!$A:$L,5,FALSE)</f>
        <v>5.56</v>
      </c>
      <c r="G28" s="31">
        <f>C28/VLOOKUP(B28,Alimentos!$A:$L,3,FALSE)*VLOOKUP(B28,Alimentos!$A:$L,6,FALSE)</f>
        <v>26.64</v>
      </c>
      <c r="H28" s="31">
        <f>C28/VLOOKUP(B28,Alimentos!$A:$L,3,FALSE)*VLOOKUP(B28,Alimentos!$A:$L,7,FALSE)</f>
        <v>3.4</v>
      </c>
      <c r="I28" s="31">
        <f>C28/VLOOKUP(B28,Alimentos!$A:$L,3,FALSE)*VLOOKUP(B28,Alimentos!$A:$L,8,FALSE)</f>
        <v>3.64</v>
      </c>
      <c r="J28" s="59"/>
    </row>
    <row r="29" ht="21.75" customHeight="1">
      <c r="A29" s="59" t="s">
        <v>313</v>
      </c>
      <c r="B29" s="59" t="s">
        <v>267</v>
      </c>
      <c r="C29" s="63">
        <v>100.0</v>
      </c>
      <c r="D29" s="31" t="str">
        <f>VLOOKUP(B29,Alimentos!$A:$L,2,FALSE)</f>
        <v>g</v>
      </c>
      <c r="E29" s="31">
        <f>C29/VLOOKUP(B29,Alimentos!$A:$L,3,FALSE)*VLOOKUP(B29,Alimentos!$A:$L,4,FALSE)</f>
        <v>92</v>
      </c>
      <c r="F29" s="31">
        <f>C29/VLOOKUP(B29,Alimentos!$A:$L,3,FALSE)*VLOOKUP(B29,Alimentos!$A:$L,5,FALSE)</f>
        <v>1.4</v>
      </c>
      <c r="G29" s="31">
        <f>C29/VLOOKUP(B29,Alimentos!$A:$L,3,FALSE)*VLOOKUP(B29,Alimentos!$A:$L,6,FALSE)</f>
        <v>23.8</v>
      </c>
      <c r="H29" s="31">
        <f>C29/VLOOKUP(B29,Alimentos!$A:$L,3,FALSE)*VLOOKUP(B29,Alimentos!$A:$L,7,FALSE)</f>
        <v>0.1</v>
      </c>
      <c r="I29" s="31">
        <f>C29/VLOOKUP(B29,Alimentos!$A:$L,3,FALSE)*VLOOKUP(B29,Alimentos!$A:$L,8,FALSE)</f>
        <v>1.9</v>
      </c>
      <c r="J29" s="59" t="s">
        <v>314</v>
      </c>
    </row>
    <row r="30" ht="21.75" customHeight="1">
      <c r="A30" s="4"/>
      <c r="B30" s="4"/>
      <c r="C30" s="31"/>
      <c r="D30" s="31"/>
      <c r="E30" s="31"/>
      <c r="F30" s="31"/>
      <c r="G30" s="31"/>
      <c r="H30" s="31"/>
      <c r="I30" s="31"/>
      <c r="J30" s="4"/>
    </row>
    <row r="31" ht="21.75" customHeight="1">
      <c r="A31" s="30" t="s">
        <v>315</v>
      </c>
      <c r="B31" s="30"/>
      <c r="C31" s="73"/>
      <c r="D31" s="73"/>
      <c r="E31" s="73">
        <f t="shared" ref="E31:I31" si="1">SUM(E6:E29)</f>
        <v>2440.7</v>
      </c>
      <c r="F31" s="73">
        <f t="shared" si="1"/>
        <v>144.9066667</v>
      </c>
      <c r="G31" s="73">
        <f t="shared" si="1"/>
        <v>314.2133333</v>
      </c>
      <c r="H31" s="73">
        <f t="shared" si="1"/>
        <v>69.52333333</v>
      </c>
      <c r="I31" s="73">
        <f t="shared" si="1"/>
        <v>44.39</v>
      </c>
      <c r="J31" s="30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21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21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21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21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21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21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21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3.5" customHeight="1">
      <c r="B50" s="67"/>
    </row>
    <row r="51" ht="13.5" customHeight="1">
      <c r="B51" s="67"/>
    </row>
    <row r="52" ht="13.5" customHeight="1">
      <c r="B52" s="67"/>
    </row>
    <row r="53" ht="13.5" customHeight="1">
      <c r="B53" s="67"/>
    </row>
    <row r="54" ht="13.5" customHeight="1">
      <c r="B54" s="67"/>
    </row>
    <row r="55" ht="13.5" customHeight="1">
      <c r="B55" s="67"/>
    </row>
    <row r="56" ht="13.5" customHeight="1">
      <c r="B56" s="67"/>
    </row>
    <row r="57" ht="13.5" customHeight="1">
      <c r="B57" s="67"/>
    </row>
    <row r="58" ht="13.5" customHeight="1">
      <c r="B58" s="67"/>
    </row>
    <row r="59" ht="13.5" customHeight="1">
      <c r="B59" s="67"/>
    </row>
    <row r="60" ht="13.5" customHeight="1">
      <c r="B60" s="67"/>
    </row>
    <row r="61" ht="13.5" customHeight="1">
      <c r="B61" s="67"/>
    </row>
    <row r="62" ht="13.5" customHeight="1">
      <c r="B62" s="67"/>
    </row>
    <row r="63" ht="13.5" customHeight="1">
      <c r="B63" s="67"/>
    </row>
    <row r="64" ht="13.5" customHeight="1">
      <c r="B64" s="67"/>
    </row>
    <row r="65" ht="13.5" customHeight="1">
      <c r="B65" s="67"/>
    </row>
    <row r="66" ht="13.5" customHeight="1">
      <c r="B66" s="67"/>
    </row>
    <row r="67" ht="13.5" customHeight="1">
      <c r="B67" s="67"/>
    </row>
    <row r="68" ht="13.5" customHeight="1">
      <c r="B68" s="67"/>
    </row>
    <row r="69" ht="13.5" customHeight="1">
      <c r="B69" s="67"/>
    </row>
    <row r="70" ht="13.5" customHeight="1">
      <c r="B70" s="67"/>
    </row>
    <row r="71" ht="13.5" customHeight="1">
      <c r="B71" s="67"/>
    </row>
    <row r="72" ht="13.5" customHeight="1">
      <c r="B72" s="67"/>
    </row>
    <row r="73" ht="13.5" customHeight="1">
      <c r="B73" s="67"/>
    </row>
    <row r="74" ht="13.5" customHeight="1">
      <c r="B74" s="67"/>
    </row>
    <row r="75" ht="13.5" customHeight="1">
      <c r="B75" s="67"/>
    </row>
    <row r="76" ht="13.5" customHeight="1">
      <c r="B76" s="67"/>
    </row>
    <row r="77" ht="13.5" customHeight="1">
      <c r="B77" s="67"/>
    </row>
    <row r="78" ht="13.5" customHeight="1">
      <c r="B78" s="67"/>
    </row>
    <row r="79" ht="13.5" customHeight="1">
      <c r="B79" s="67"/>
    </row>
    <row r="80" ht="13.5" customHeight="1">
      <c r="B80" s="67"/>
    </row>
    <row r="81" ht="13.5" customHeight="1">
      <c r="B81" s="67"/>
    </row>
    <row r="82" ht="13.5" customHeight="1">
      <c r="B82" s="67"/>
    </row>
    <row r="83" ht="13.5" customHeight="1">
      <c r="B83" s="67"/>
    </row>
    <row r="84" ht="13.5" customHeight="1">
      <c r="B84" s="67"/>
    </row>
    <row r="85" ht="13.5" customHeight="1">
      <c r="B85" s="67"/>
    </row>
    <row r="86" ht="13.5" customHeight="1">
      <c r="B86" s="67"/>
    </row>
    <row r="87" ht="13.5" customHeight="1">
      <c r="B87" s="67"/>
    </row>
    <row r="88" ht="13.5" customHeight="1">
      <c r="B88" s="67"/>
    </row>
    <row r="89" ht="13.5" customHeight="1">
      <c r="B89" s="67"/>
    </row>
    <row r="90" ht="13.5" customHeight="1">
      <c r="B90" s="67"/>
    </row>
    <row r="91" ht="13.5" customHeight="1">
      <c r="B91" s="67"/>
    </row>
    <row r="92" ht="13.5" customHeight="1">
      <c r="B92" s="67"/>
    </row>
    <row r="93" ht="13.5" customHeight="1">
      <c r="B93" s="67"/>
    </row>
    <row r="94" ht="13.5" customHeight="1">
      <c r="B94" s="67"/>
    </row>
    <row r="95" ht="13.5" customHeight="1">
      <c r="B95" s="67"/>
    </row>
    <row r="96" ht="13.5" customHeight="1">
      <c r="B96" s="67"/>
    </row>
    <row r="97" ht="13.5" customHeight="1">
      <c r="B97" s="67"/>
    </row>
    <row r="98" ht="13.5" customHeight="1">
      <c r="B98" s="67"/>
    </row>
    <row r="99" ht="13.5" customHeight="1">
      <c r="B99" s="67"/>
    </row>
    <row r="100" ht="13.5" customHeight="1">
      <c r="B100" s="67"/>
    </row>
    <row r="101" ht="13.5" customHeight="1">
      <c r="B101" s="67"/>
    </row>
    <row r="102" ht="13.5" customHeight="1">
      <c r="B102" s="67"/>
    </row>
    <row r="103" ht="13.5" customHeight="1">
      <c r="B103" s="67"/>
    </row>
    <row r="104" ht="13.5" customHeight="1">
      <c r="B104" s="67"/>
    </row>
    <row r="105" ht="13.5" customHeight="1">
      <c r="B105" s="67"/>
    </row>
    <row r="106" ht="13.5" customHeight="1">
      <c r="B106" s="67"/>
    </row>
    <row r="107" ht="13.5" customHeight="1">
      <c r="B107" s="67"/>
    </row>
    <row r="108" ht="13.5" customHeight="1">
      <c r="B108" s="67"/>
    </row>
    <row r="109" ht="13.5" customHeight="1">
      <c r="B109" s="67"/>
    </row>
    <row r="110" ht="13.5" customHeight="1">
      <c r="B110" s="67"/>
    </row>
    <row r="111" ht="13.5" customHeight="1">
      <c r="B111" s="67"/>
    </row>
    <row r="112" ht="13.5" customHeight="1">
      <c r="B112" s="67"/>
    </row>
    <row r="113" ht="13.5" customHeight="1">
      <c r="B113" s="67"/>
    </row>
    <row r="114" ht="13.5" customHeight="1">
      <c r="B114" s="67"/>
    </row>
    <row r="115" ht="13.5" customHeight="1">
      <c r="B115" s="67"/>
    </row>
    <row r="116" ht="13.5" customHeight="1">
      <c r="B116" s="67"/>
    </row>
    <row r="117" ht="13.5" customHeight="1">
      <c r="B117" s="67"/>
    </row>
    <row r="118" ht="13.5" customHeight="1">
      <c r="B118" s="67"/>
    </row>
    <row r="119" ht="13.5" customHeight="1">
      <c r="B119" s="67"/>
    </row>
    <row r="120" ht="13.5" customHeight="1">
      <c r="B120" s="67"/>
    </row>
    <row r="121" ht="13.5" customHeight="1">
      <c r="B121" s="67"/>
    </row>
    <row r="122" ht="13.5" customHeight="1">
      <c r="B122" s="67"/>
    </row>
    <row r="123" ht="13.5" customHeight="1">
      <c r="B123" s="67"/>
    </row>
    <row r="124" ht="13.5" customHeight="1">
      <c r="B124" s="67"/>
    </row>
    <row r="125" ht="13.5" customHeight="1">
      <c r="B125" s="67"/>
    </row>
    <row r="126" ht="13.5" customHeight="1">
      <c r="B126" s="67"/>
    </row>
    <row r="127" ht="13.5" customHeight="1">
      <c r="B127" s="67"/>
    </row>
    <row r="128" ht="13.5" customHeight="1">
      <c r="B128" s="67"/>
    </row>
    <row r="129" ht="13.5" customHeight="1">
      <c r="B129" s="67"/>
    </row>
    <row r="130" ht="13.5" customHeight="1">
      <c r="B130" s="67"/>
    </row>
    <row r="131" ht="13.5" customHeight="1">
      <c r="B131" s="67"/>
    </row>
    <row r="132" ht="13.5" customHeight="1">
      <c r="B132" s="67"/>
    </row>
    <row r="133" ht="13.5" customHeight="1">
      <c r="B133" s="67"/>
    </row>
    <row r="134" ht="13.5" customHeight="1">
      <c r="B134" s="67"/>
    </row>
    <row r="135" ht="13.5" customHeight="1">
      <c r="B135" s="67"/>
    </row>
    <row r="136" ht="13.5" customHeight="1">
      <c r="B136" s="67"/>
    </row>
    <row r="137" ht="13.5" customHeight="1">
      <c r="B137" s="67"/>
    </row>
    <row r="138" ht="13.5" customHeight="1">
      <c r="B138" s="67"/>
    </row>
    <row r="139" ht="13.5" customHeight="1">
      <c r="B139" s="67"/>
    </row>
    <row r="140" ht="13.5" customHeight="1">
      <c r="B140" s="67"/>
    </row>
    <row r="141" ht="13.5" customHeight="1">
      <c r="B141" s="67"/>
    </row>
    <row r="142" ht="13.5" customHeight="1">
      <c r="B142" s="67"/>
    </row>
    <row r="143" ht="13.5" customHeight="1">
      <c r="B143" s="67"/>
    </row>
    <row r="144" ht="13.5" customHeight="1">
      <c r="B144" s="67"/>
    </row>
    <row r="145" ht="13.5" customHeight="1">
      <c r="B145" s="67"/>
    </row>
    <row r="146" ht="13.5" customHeight="1">
      <c r="B146" s="67"/>
    </row>
    <row r="147" ht="13.5" customHeight="1">
      <c r="B147" s="67"/>
    </row>
    <row r="148" ht="13.5" customHeight="1">
      <c r="B148" s="67"/>
    </row>
    <row r="149" ht="13.5" customHeight="1">
      <c r="B149" s="67"/>
    </row>
    <row r="150" ht="13.5" customHeight="1">
      <c r="B150" s="67"/>
    </row>
    <row r="151" ht="13.5" customHeight="1">
      <c r="B151" s="67"/>
    </row>
    <row r="152" ht="13.5" customHeight="1">
      <c r="B152" s="67"/>
    </row>
    <row r="153" ht="13.5" customHeight="1">
      <c r="B153" s="67"/>
    </row>
    <row r="154" ht="13.5" customHeight="1">
      <c r="B154" s="67"/>
    </row>
    <row r="155" ht="13.5" customHeight="1">
      <c r="B155" s="67"/>
    </row>
    <row r="156" ht="13.5" customHeight="1">
      <c r="B156" s="67"/>
    </row>
    <row r="157" ht="13.5" customHeight="1">
      <c r="B157" s="67"/>
    </row>
    <row r="158" ht="13.5" customHeight="1">
      <c r="B158" s="67"/>
    </row>
    <row r="159" ht="13.5" customHeight="1">
      <c r="B159" s="67"/>
    </row>
    <row r="160" ht="13.5" customHeight="1">
      <c r="B160" s="67"/>
    </row>
    <row r="161" ht="13.5" customHeight="1">
      <c r="B161" s="67"/>
    </row>
    <row r="162" ht="13.5" customHeight="1">
      <c r="B162" s="67"/>
    </row>
    <row r="163" ht="13.5" customHeight="1">
      <c r="B163" s="67"/>
    </row>
    <row r="164" ht="13.5" customHeight="1">
      <c r="B164" s="67"/>
    </row>
    <row r="165" ht="13.5" customHeight="1">
      <c r="B165" s="67"/>
    </row>
    <row r="166" ht="13.5" customHeight="1">
      <c r="B166" s="67"/>
    </row>
    <row r="167" ht="13.5" customHeight="1">
      <c r="B167" s="67"/>
    </row>
    <row r="168" ht="13.5" customHeight="1">
      <c r="B168" s="67"/>
    </row>
    <row r="169" ht="13.5" customHeight="1">
      <c r="B169" s="67"/>
    </row>
    <row r="170" ht="13.5" customHeight="1">
      <c r="B170" s="67"/>
    </row>
    <row r="171" ht="13.5" customHeight="1">
      <c r="B171" s="67"/>
    </row>
    <row r="172" ht="13.5" customHeight="1">
      <c r="B172" s="67"/>
    </row>
    <row r="173" ht="13.5" customHeight="1">
      <c r="B173" s="67"/>
    </row>
    <row r="174" ht="13.5" customHeight="1">
      <c r="B174" s="67"/>
    </row>
    <row r="175" ht="13.5" customHeight="1">
      <c r="B175" s="67"/>
    </row>
    <row r="176" ht="13.5" customHeight="1">
      <c r="B176" s="67"/>
    </row>
    <row r="177" ht="13.5" customHeight="1">
      <c r="B177" s="67"/>
    </row>
    <row r="178" ht="13.5" customHeight="1">
      <c r="B178" s="67"/>
    </row>
    <row r="179" ht="13.5" customHeight="1">
      <c r="B179" s="67"/>
    </row>
    <row r="180" ht="13.5" customHeight="1">
      <c r="B180" s="67"/>
    </row>
    <row r="181" ht="13.5" customHeight="1">
      <c r="B181" s="67"/>
    </row>
    <row r="182" ht="13.5" customHeight="1">
      <c r="B182" s="67"/>
    </row>
    <row r="183" ht="13.5" customHeight="1">
      <c r="B183" s="67"/>
    </row>
    <row r="184" ht="13.5" customHeight="1">
      <c r="B184" s="67"/>
    </row>
    <row r="185" ht="13.5" customHeight="1">
      <c r="B185" s="67"/>
    </row>
    <row r="186" ht="13.5" customHeight="1">
      <c r="B186" s="67"/>
    </row>
    <row r="187" ht="13.5" customHeight="1">
      <c r="B187" s="67"/>
    </row>
    <row r="188" ht="13.5" customHeight="1">
      <c r="B188" s="67"/>
    </row>
    <row r="189" ht="13.5" customHeight="1">
      <c r="B189" s="67"/>
    </row>
    <row r="190" ht="13.5" customHeight="1">
      <c r="B190" s="67"/>
    </row>
    <row r="191" ht="13.5" customHeight="1">
      <c r="B191" s="67"/>
    </row>
    <row r="192" ht="13.5" customHeight="1">
      <c r="B192" s="67"/>
    </row>
    <row r="193" ht="13.5" customHeight="1">
      <c r="B193" s="67"/>
    </row>
    <row r="194" ht="13.5" customHeight="1">
      <c r="B194" s="67"/>
    </row>
    <row r="195" ht="13.5" customHeight="1">
      <c r="B195" s="67"/>
    </row>
    <row r="196" ht="13.5" customHeight="1">
      <c r="B196" s="67"/>
    </row>
    <row r="197" ht="13.5" customHeight="1">
      <c r="B197" s="67"/>
    </row>
    <row r="198" ht="13.5" customHeight="1">
      <c r="B198" s="67"/>
    </row>
    <row r="199" ht="13.5" customHeight="1">
      <c r="B199" s="67"/>
    </row>
    <row r="200" ht="13.5" customHeight="1">
      <c r="B200" s="67"/>
    </row>
    <row r="201" ht="13.5" customHeight="1">
      <c r="B201" s="67"/>
    </row>
    <row r="202" ht="13.5" customHeight="1">
      <c r="B202" s="67"/>
    </row>
    <row r="203" ht="13.5" customHeight="1">
      <c r="B203" s="67"/>
    </row>
    <row r="204" ht="13.5" customHeight="1">
      <c r="B204" s="67"/>
    </row>
    <row r="205" ht="13.5" customHeight="1">
      <c r="B205" s="67"/>
    </row>
    <row r="206" ht="13.5" customHeight="1">
      <c r="B206" s="67"/>
    </row>
    <row r="207" ht="13.5" customHeight="1">
      <c r="B207" s="67"/>
    </row>
    <row r="208" ht="13.5" customHeight="1">
      <c r="B208" s="67"/>
    </row>
    <row r="209" ht="13.5" customHeight="1">
      <c r="B209" s="67"/>
    </row>
    <row r="210" ht="13.5" customHeight="1">
      <c r="B210" s="67"/>
    </row>
    <row r="211" ht="13.5" customHeight="1">
      <c r="B211" s="67"/>
    </row>
    <row r="212" ht="13.5" customHeight="1">
      <c r="B212" s="67"/>
    </row>
    <row r="213" ht="13.5" customHeight="1">
      <c r="B213" s="67"/>
    </row>
    <row r="214" ht="13.5" customHeight="1">
      <c r="B214" s="67"/>
    </row>
    <row r="215" ht="13.5" customHeight="1">
      <c r="B215" s="67"/>
    </row>
    <row r="216" ht="13.5" customHeight="1">
      <c r="B216" s="67"/>
    </row>
    <row r="217" ht="13.5" customHeight="1">
      <c r="B217" s="67"/>
    </row>
    <row r="218" ht="13.5" customHeight="1">
      <c r="B218" s="67"/>
    </row>
    <row r="219" ht="13.5" customHeight="1">
      <c r="B219" s="67"/>
    </row>
    <row r="220" ht="13.5" customHeight="1">
      <c r="B220" s="67"/>
    </row>
    <row r="221" ht="13.5" customHeight="1">
      <c r="B221" s="67"/>
    </row>
    <row r="222" ht="13.5" customHeight="1">
      <c r="B222" s="67"/>
    </row>
    <row r="223" ht="13.5" customHeight="1">
      <c r="B223" s="67"/>
    </row>
    <row r="224" ht="13.5" customHeight="1">
      <c r="B224" s="67"/>
    </row>
    <row r="225" ht="13.5" customHeight="1">
      <c r="B225" s="67"/>
    </row>
    <row r="226" ht="13.5" customHeight="1">
      <c r="B226" s="67"/>
    </row>
    <row r="227" ht="13.5" customHeight="1">
      <c r="B227" s="67"/>
    </row>
    <row r="228" ht="13.5" customHeight="1">
      <c r="B228" s="67"/>
    </row>
    <row r="229" ht="13.5" customHeight="1">
      <c r="B229" s="67"/>
    </row>
    <row r="230" ht="13.5" customHeight="1">
      <c r="B230" s="67"/>
    </row>
    <row r="231" ht="13.5" customHeight="1">
      <c r="B231" s="67"/>
    </row>
    <row r="232" ht="13.5" customHeight="1">
      <c r="B232" s="67"/>
    </row>
    <row r="233" ht="13.5" customHeight="1">
      <c r="B233" s="67"/>
    </row>
    <row r="234" ht="13.5" customHeight="1">
      <c r="B234" s="67"/>
    </row>
    <row r="235" ht="13.5" customHeight="1">
      <c r="B235" s="67"/>
    </row>
    <row r="236" ht="13.5" customHeight="1">
      <c r="B236" s="67"/>
    </row>
    <row r="237" ht="13.5" customHeight="1">
      <c r="B237" s="67"/>
    </row>
    <row r="238" ht="13.5" customHeight="1">
      <c r="B238" s="67"/>
    </row>
    <row r="239" ht="13.5" customHeight="1">
      <c r="B239" s="67"/>
    </row>
    <row r="240" ht="13.5" customHeight="1">
      <c r="B240" s="67"/>
    </row>
    <row r="241" ht="13.5" customHeight="1">
      <c r="B241" s="67"/>
    </row>
    <row r="242" ht="13.5" customHeight="1">
      <c r="B242" s="67"/>
    </row>
    <row r="243" ht="13.5" customHeight="1">
      <c r="B243" s="67"/>
    </row>
    <row r="244" ht="13.5" customHeight="1">
      <c r="B244" s="67"/>
    </row>
    <row r="245" ht="13.5" customHeight="1">
      <c r="B245" s="67"/>
    </row>
    <row r="246" ht="13.5" customHeight="1">
      <c r="B246" s="67"/>
    </row>
    <row r="247" ht="13.5" customHeight="1">
      <c r="B247" s="67"/>
    </row>
    <row r="248" ht="13.5" customHeight="1">
      <c r="B248" s="67"/>
    </row>
    <row r="249" ht="13.5" customHeight="1">
      <c r="B249" s="67"/>
    </row>
    <row r="250" ht="13.5" customHeight="1">
      <c r="B250" s="67"/>
    </row>
    <row r="251" ht="13.5" customHeight="1">
      <c r="B251" s="67"/>
    </row>
    <row r="252" ht="13.5" customHeight="1">
      <c r="B252" s="67"/>
    </row>
    <row r="253" ht="13.5" customHeight="1">
      <c r="B253" s="67"/>
    </row>
    <row r="254" ht="13.5" customHeight="1">
      <c r="B254" s="67"/>
    </row>
    <row r="255" ht="13.5" customHeight="1">
      <c r="B255" s="67"/>
    </row>
    <row r="256" ht="13.5" customHeight="1">
      <c r="B256" s="67"/>
    </row>
    <row r="257" ht="13.5" customHeight="1">
      <c r="B257" s="67"/>
    </row>
    <row r="258" ht="13.5" customHeight="1">
      <c r="B258" s="67"/>
    </row>
    <row r="259" ht="13.5" customHeight="1">
      <c r="B259" s="67"/>
    </row>
    <row r="260" ht="13.5" customHeight="1">
      <c r="B260" s="67"/>
    </row>
    <row r="261" ht="13.5" customHeight="1">
      <c r="B261" s="67"/>
    </row>
    <row r="262" ht="13.5" customHeight="1">
      <c r="B262" s="67"/>
    </row>
    <row r="263" ht="13.5" customHeight="1">
      <c r="B263" s="67"/>
    </row>
    <row r="264" ht="13.5" customHeight="1">
      <c r="B264" s="67"/>
    </row>
    <row r="265" ht="13.5" customHeight="1">
      <c r="B265" s="67"/>
    </row>
    <row r="266" ht="13.5" customHeight="1">
      <c r="B266" s="67"/>
    </row>
    <row r="267" ht="13.5" customHeight="1">
      <c r="B267" s="67"/>
    </row>
    <row r="268" ht="13.5" customHeight="1">
      <c r="B268" s="67"/>
    </row>
    <row r="269" ht="13.5" customHeight="1">
      <c r="B269" s="67"/>
    </row>
    <row r="270" ht="13.5" customHeight="1">
      <c r="B270" s="67"/>
    </row>
    <row r="271" ht="13.5" customHeight="1">
      <c r="B271" s="67"/>
    </row>
    <row r="272" ht="13.5" customHeight="1">
      <c r="B272" s="67"/>
    </row>
    <row r="273" ht="13.5" customHeight="1">
      <c r="B273" s="67"/>
    </row>
    <row r="274" ht="13.5" customHeight="1">
      <c r="B274" s="67"/>
    </row>
    <row r="275" ht="13.5" customHeight="1">
      <c r="B275" s="67"/>
    </row>
    <row r="276" ht="13.5" customHeight="1">
      <c r="B276" s="67"/>
    </row>
    <row r="277" ht="13.5" customHeight="1">
      <c r="B277" s="67"/>
    </row>
    <row r="278" ht="13.5" customHeight="1">
      <c r="B278" s="67"/>
    </row>
    <row r="279" ht="13.5" customHeight="1">
      <c r="B279" s="67"/>
    </row>
    <row r="280" ht="13.5" customHeight="1">
      <c r="B280" s="67"/>
    </row>
    <row r="281" ht="13.5" customHeight="1">
      <c r="B281" s="67"/>
    </row>
    <row r="282" ht="13.5" customHeight="1">
      <c r="B282" s="67"/>
    </row>
    <row r="283" ht="13.5" customHeight="1">
      <c r="B283" s="67"/>
    </row>
    <row r="284" ht="13.5" customHeight="1">
      <c r="B284" s="67"/>
    </row>
    <row r="285" ht="13.5" customHeight="1">
      <c r="B285" s="67"/>
    </row>
    <row r="286" ht="13.5" customHeight="1">
      <c r="B286" s="67"/>
    </row>
    <row r="287" ht="13.5" customHeight="1">
      <c r="B287" s="67"/>
    </row>
    <row r="288" ht="13.5" customHeight="1">
      <c r="B288" s="67"/>
    </row>
    <row r="289" ht="13.5" customHeight="1">
      <c r="B289" s="67"/>
    </row>
    <row r="290" ht="13.5" customHeight="1">
      <c r="B290" s="67"/>
    </row>
    <row r="291" ht="13.5" customHeight="1">
      <c r="B291" s="67"/>
    </row>
    <row r="292" ht="13.5" customHeight="1">
      <c r="B292" s="67"/>
    </row>
    <row r="293" ht="13.5" customHeight="1">
      <c r="B293" s="67"/>
    </row>
    <row r="294" ht="13.5" customHeight="1">
      <c r="B294" s="67"/>
    </row>
    <row r="295" ht="13.5" customHeight="1">
      <c r="B295" s="67"/>
    </row>
    <row r="296" ht="13.5" customHeight="1">
      <c r="B296" s="67"/>
    </row>
    <row r="297" ht="13.5" customHeight="1">
      <c r="B297" s="67"/>
    </row>
    <row r="298" ht="13.5" customHeight="1">
      <c r="B298" s="67"/>
    </row>
    <row r="299" ht="13.5" customHeight="1">
      <c r="B299" s="67"/>
    </row>
    <row r="300" ht="13.5" customHeight="1">
      <c r="B300" s="67"/>
    </row>
    <row r="301" ht="13.5" customHeight="1">
      <c r="B301" s="67"/>
    </row>
    <row r="302" ht="13.5" customHeight="1">
      <c r="B302" s="67"/>
    </row>
    <row r="303" ht="13.5" customHeight="1">
      <c r="B303" s="67"/>
    </row>
    <row r="304" ht="13.5" customHeight="1">
      <c r="B304" s="67"/>
    </row>
    <row r="305" ht="13.5" customHeight="1">
      <c r="B305" s="67"/>
    </row>
    <row r="306" ht="13.5" customHeight="1">
      <c r="B306" s="67"/>
    </row>
    <row r="307" ht="13.5" customHeight="1">
      <c r="B307" s="67"/>
    </row>
    <row r="308" ht="13.5" customHeight="1">
      <c r="B308" s="67"/>
    </row>
    <row r="309" ht="13.5" customHeight="1">
      <c r="B309" s="67"/>
    </row>
    <row r="310" ht="13.5" customHeight="1">
      <c r="B310" s="67"/>
    </row>
    <row r="311" ht="13.5" customHeight="1">
      <c r="B311" s="67"/>
    </row>
    <row r="312" ht="13.5" customHeight="1">
      <c r="B312" s="67"/>
    </row>
    <row r="313" ht="13.5" customHeight="1">
      <c r="B313" s="67"/>
    </row>
    <row r="314" ht="13.5" customHeight="1">
      <c r="B314" s="67"/>
    </row>
    <row r="315" ht="13.5" customHeight="1">
      <c r="B315" s="67"/>
    </row>
    <row r="316" ht="13.5" customHeight="1">
      <c r="B316" s="67"/>
    </row>
    <row r="317" ht="13.5" customHeight="1">
      <c r="B317" s="67"/>
    </row>
    <row r="318" ht="13.5" customHeight="1">
      <c r="B318" s="67"/>
    </row>
    <row r="319" ht="13.5" customHeight="1">
      <c r="B319" s="67"/>
    </row>
    <row r="320" ht="13.5" customHeight="1">
      <c r="B320" s="67"/>
    </row>
    <row r="321" ht="13.5" customHeight="1">
      <c r="B321" s="67"/>
    </row>
    <row r="322" ht="13.5" customHeight="1">
      <c r="B322" s="67"/>
    </row>
    <row r="323" ht="13.5" customHeight="1">
      <c r="B323" s="67"/>
    </row>
    <row r="324" ht="13.5" customHeight="1">
      <c r="B324" s="67"/>
    </row>
    <row r="325" ht="13.5" customHeight="1">
      <c r="B325" s="67"/>
    </row>
    <row r="326" ht="13.5" customHeight="1">
      <c r="B326" s="67"/>
    </row>
    <row r="327" ht="13.5" customHeight="1">
      <c r="B327" s="67"/>
    </row>
    <row r="328" ht="13.5" customHeight="1">
      <c r="B328" s="67"/>
    </row>
    <row r="329" ht="13.5" customHeight="1">
      <c r="B329" s="67"/>
    </row>
    <row r="330" ht="13.5" customHeight="1">
      <c r="B330" s="67"/>
    </row>
    <row r="331" ht="13.5" customHeight="1">
      <c r="B331" s="67"/>
    </row>
    <row r="332" ht="13.5" customHeight="1">
      <c r="B332" s="67"/>
    </row>
    <row r="333" ht="13.5" customHeight="1">
      <c r="B333" s="67"/>
    </row>
    <row r="334" ht="13.5" customHeight="1">
      <c r="B334" s="67"/>
    </row>
    <row r="335" ht="13.5" customHeight="1">
      <c r="B335" s="67"/>
    </row>
    <row r="336" ht="13.5" customHeight="1">
      <c r="B336" s="67"/>
    </row>
    <row r="337" ht="13.5" customHeight="1">
      <c r="B337" s="67"/>
    </row>
    <row r="338" ht="13.5" customHeight="1">
      <c r="B338" s="67"/>
    </row>
    <row r="339" ht="13.5" customHeight="1">
      <c r="B339" s="67"/>
    </row>
    <row r="340" ht="13.5" customHeight="1">
      <c r="B340" s="67"/>
    </row>
    <row r="341" ht="13.5" customHeight="1">
      <c r="B341" s="67"/>
    </row>
    <row r="342" ht="13.5" customHeight="1">
      <c r="B342" s="67"/>
    </row>
    <row r="343" ht="13.5" customHeight="1">
      <c r="B343" s="67"/>
    </row>
    <row r="344" ht="13.5" customHeight="1">
      <c r="B344" s="67"/>
    </row>
    <row r="345" ht="13.5" customHeight="1">
      <c r="B345" s="67"/>
    </row>
    <row r="346" ht="13.5" customHeight="1">
      <c r="B346" s="67"/>
    </row>
    <row r="347" ht="13.5" customHeight="1">
      <c r="B347" s="67"/>
    </row>
    <row r="348" ht="13.5" customHeight="1">
      <c r="B348" s="67"/>
    </row>
    <row r="349" ht="13.5" customHeight="1">
      <c r="B349" s="67"/>
    </row>
    <row r="350" ht="13.5" customHeight="1">
      <c r="B350" s="67"/>
    </row>
    <row r="351" ht="13.5" customHeight="1">
      <c r="B351" s="67"/>
    </row>
    <row r="352" ht="13.5" customHeight="1">
      <c r="B352" s="67"/>
    </row>
    <row r="353" ht="13.5" customHeight="1">
      <c r="B353" s="67"/>
    </row>
    <row r="354" ht="13.5" customHeight="1">
      <c r="B354" s="67"/>
    </row>
    <row r="355" ht="13.5" customHeight="1">
      <c r="B355" s="67"/>
    </row>
    <row r="356" ht="13.5" customHeight="1">
      <c r="B356" s="67"/>
    </row>
    <row r="357" ht="13.5" customHeight="1">
      <c r="B357" s="67"/>
    </row>
    <row r="358" ht="13.5" customHeight="1">
      <c r="B358" s="67"/>
    </row>
    <row r="359" ht="13.5" customHeight="1">
      <c r="B359" s="67"/>
    </row>
    <row r="360" ht="13.5" customHeight="1">
      <c r="B360" s="67"/>
    </row>
    <row r="361" ht="13.5" customHeight="1">
      <c r="B361" s="67"/>
    </row>
    <row r="362" ht="13.5" customHeight="1">
      <c r="B362" s="67"/>
    </row>
    <row r="363" ht="13.5" customHeight="1">
      <c r="B363" s="67"/>
    </row>
    <row r="364" ht="13.5" customHeight="1">
      <c r="B364" s="67"/>
    </row>
    <row r="365" ht="13.5" customHeight="1">
      <c r="B365" s="67"/>
    </row>
    <row r="366" ht="13.5" customHeight="1">
      <c r="B366" s="67"/>
    </row>
    <row r="367" ht="13.5" customHeight="1">
      <c r="B367" s="67"/>
    </row>
    <row r="368" ht="13.5" customHeight="1">
      <c r="B368" s="67"/>
    </row>
    <row r="369" ht="13.5" customHeight="1">
      <c r="B369" s="67"/>
    </row>
    <row r="370" ht="13.5" customHeight="1">
      <c r="B370" s="67"/>
    </row>
    <row r="371" ht="13.5" customHeight="1">
      <c r="B371" s="67"/>
    </row>
    <row r="372" ht="13.5" customHeight="1">
      <c r="B372" s="67"/>
    </row>
    <row r="373" ht="13.5" customHeight="1">
      <c r="B373" s="67"/>
    </row>
    <row r="374" ht="13.5" customHeight="1">
      <c r="B374" s="67"/>
    </row>
    <row r="375" ht="13.5" customHeight="1">
      <c r="B375" s="67"/>
    </row>
    <row r="376" ht="13.5" customHeight="1">
      <c r="B376" s="67"/>
    </row>
    <row r="377" ht="13.5" customHeight="1">
      <c r="B377" s="67"/>
    </row>
    <row r="378" ht="13.5" customHeight="1">
      <c r="B378" s="67"/>
    </row>
    <row r="379" ht="13.5" customHeight="1">
      <c r="B379" s="67"/>
    </row>
    <row r="380" ht="13.5" customHeight="1">
      <c r="B380" s="67"/>
    </row>
    <row r="381" ht="13.5" customHeight="1">
      <c r="B381" s="67"/>
    </row>
    <row r="382" ht="13.5" customHeight="1">
      <c r="B382" s="67"/>
    </row>
    <row r="383" ht="13.5" customHeight="1">
      <c r="B383" s="67"/>
    </row>
    <row r="384" ht="13.5" customHeight="1">
      <c r="B384" s="67"/>
    </row>
    <row r="385" ht="13.5" customHeight="1">
      <c r="B385" s="67"/>
    </row>
    <row r="386" ht="13.5" customHeight="1">
      <c r="B386" s="67"/>
    </row>
    <row r="387" ht="13.5" customHeight="1">
      <c r="B387" s="67"/>
    </row>
    <row r="388" ht="13.5" customHeight="1">
      <c r="B388" s="67"/>
    </row>
    <row r="389" ht="13.5" customHeight="1">
      <c r="B389" s="67"/>
    </row>
    <row r="390" ht="13.5" customHeight="1">
      <c r="B390" s="67"/>
    </row>
    <row r="391" ht="13.5" customHeight="1">
      <c r="B391" s="67"/>
    </row>
    <row r="392" ht="13.5" customHeight="1">
      <c r="B392" s="67"/>
    </row>
    <row r="393" ht="13.5" customHeight="1">
      <c r="B393" s="67"/>
    </row>
    <row r="394" ht="13.5" customHeight="1">
      <c r="B394" s="67"/>
    </row>
    <row r="395" ht="13.5" customHeight="1">
      <c r="B395" s="67"/>
    </row>
    <row r="396" ht="13.5" customHeight="1">
      <c r="B396" s="67"/>
    </row>
    <row r="397" ht="13.5" customHeight="1">
      <c r="B397" s="67"/>
    </row>
    <row r="398" ht="13.5" customHeight="1">
      <c r="B398" s="67"/>
    </row>
    <row r="399" ht="13.5" customHeight="1">
      <c r="B399" s="67"/>
    </row>
    <row r="400" ht="13.5" customHeight="1">
      <c r="B400" s="67"/>
    </row>
    <row r="401" ht="13.5" customHeight="1">
      <c r="B401" s="67"/>
    </row>
    <row r="402" ht="13.5" customHeight="1">
      <c r="B402" s="67"/>
    </row>
    <row r="403" ht="13.5" customHeight="1">
      <c r="B403" s="67"/>
    </row>
    <row r="404" ht="13.5" customHeight="1">
      <c r="B404" s="67"/>
    </row>
    <row r="405" ht="13.5" customHeight="1">
      <c r="B405" s="67"/>
    </row>
    <row r="406" ht="13.5" customHeight="1">
      <c r="B406" s="67"/>
    </row>
    <row r="407" ht="13.5" customHeight="1">
      <c r="B407" s="67"/>
    </row>
    <row r="408" ht="13.5" customHeight="1">
      <c r="B408" s="67"/>
    </row>
    <row r="409" ht="13.5" customHeight="1">
      <c r="B409" s="67"/>
    </row>
    <row r="410" ht="13.5" customHeight="1">
      <c r="B410" s="67"/>
    </row>
    <row r="411" ht="13.5" customHeight="1">
      <c r="B411" s="67"/>
    </row>
    <row r="412" ht="13.5" customHeight="1">
      <c r="B412" s="67"/>
    </row>
    <row r="413" ht="13.5" customHeight="1">
      <c r="B413" s="67"/>
    </row>
    <row r="414" ht="13.5" customHeight="1">
      <c r="B414" s="67"/>
    </row>
    <row r="415" ht="13.5" customHeight="1">
      <c r="B415" s="67"/>
    </row>
    <row r="416" ht="13.5" customHeight="1">
      <c r="B416" s="67"/>
    </row>
    <row r="417" ht="13.5" customHeight="1">
      <c r="B417" s="67"/>
    </row>
    <row r="418" ht="13.5" customHeight="1">
      <c r="B418" s="67"/>
    </row>
    <row r="419" ht="13.5" customHeight="1">
      <c r="B419" s="67"/>
    </row>
    <row r="420" ht="13.5" customHeight="1">
      <c r="B420" s="67"/>
    </row>
    <row r="421" ht="13.5" customHeight="1">
      <c r="B421" s="67"/>
    </row>
    <row r="422" ht="13.5" customHeight="1">
      <c r="B422" s="67"/>
    </row>
    <row r="423" ht="13.5" customHeight="1">
      <c r="B423" s="67"/>
    </row>
    <row r="424" ht="13.5" customHeight="1">
      <c r="B424" s="67"/>
    </row>
    <row r="425" ht="13.5" customHeight="1">
      <c r="B425" s="67"/>
    </row>
    <row r="426" ht="13.5" customHeight="1">
      <c r="B426" s="67"/>
    </row>
    <row r="427" ht="13.5" customHeight="1">
      <c r="B427" s="67"/>
    </row>
    <row r="428" ht="13.5" customHeight="1">
      <c r="B428" s="67"/>
    </row>
    <row r="429" ht="13.5" customHeight="1">
      <c r="B429" s="67"/>
    </row>
    <row r="430" ht="13.5" customHeight="1">
      <c r="B430" s="67"/>
    </row>
    <row r="431" ht="13.5" customHeight="1">
      <c r="B431" s="67"/>
    </row>
    <row r="432" ht="13.5" customHeight="1">
      <c r="B432" s="67"/>
    </row>
    <row r="433" ht="13.5" customHeight="1">
      <c r="B433" s="67"/>
    </row>
    <row r="434" ht="13.5" customHeight="1">
      <c r="B434" s="67"/>
    </row>
    <row r="435" ht="13.5" customHeight="1">
      <c r="B435" s="67"/>
    </row>
    <row r="436" ht="13.5" customHeight="1">
      <c r="B436" s="67"/>
    </row>
    <row r="437" ht="13.5" customHeight="1">
      <c r="B437" s="67"/>
    </row>
    <row r="438" ht="13.5" customHeight="1">
      <c r="B438" s="67"/>
    </row>
    <row r="439" ht="13.5" customHeight="1">
      <c r="B439" s="67"/>
    </row>
    <row r="440" ht="13.5" customHeight="1">
      <c r="B440" s="67"/>
    </row>
    <row r="441" ht="13.5" customHeight="1">
      <c r="B441" s="67"/>
    </row>
    <row r="442" ht="13.5" customHeight="1">
      <c r="B442" s="67"/>
    </row>
    <row r="443" ht="13.5" customHeight="1">
      <c r="B443" s="67"/>
    </row>
    <row r="444" ht="13.5" customHeight="1">
      <c r="B444" s="67"/>
    </row>
    <row r="445" ht="13.5" customHeight="1">
      <c r="B445" s="67"/>
    </row>
    <row r="446" ht="13.5" customHeight="1">
      <c r="B446" s="67"/>
    </row>
    <row r="447" ht="13.5" customHeight="1">
      <c r="B447" s="67"/>
    </row>
    <row r="448" ht="13.5" customHeight="1">
      <c r="B448" s="67"/>
    </row>
    <row r="449" ht="13.5" customHeight="1">
      <c r="B449" s="67"/>
    </row>
    <row r="450" ht="13.5" customHeight="1">
      <c r="B450" s="67"/>
    </row>
    <row r="451" ht="13.5" customHeight="1">
      <c r="B451" s="67"/>
    </row>
    <row r="452" ht="13.5" customHeight="1">
      <c r="B452" s="67"/>
    </row>
    <row r="453" ht="13.5" customHeight="1">
      <c r="B453" s="67"/>
    </row>
    <row r="454" ht="13.5" customHeight="1">
      <c r="B454" s="67"/>
    </row>
    <row r="455" ht="13.5" customHeight="1">
      <c r="B455" s="67"/>
    </row>
    <row r="456" ht="13.5" customHeight="1">
      <c r="B456" s="67"/>
    </row>
    <row r="457" ht="13.5" customHeight="1">
      <c r="B457" s="67"/>
    </row>
    <row r="458" ht="13.5" customHeight="1">
      <c r="B458" s="67"/>
    </row>
    <row r="459" ht="13.5" customHeight="1">
      <c r="B459" s="67"/>
    </row>
    <row r="460" ht="13.5" customHeight="1">
      <c r="B460" s="67"/>
    </row>
    <row r="461" ht="13.5" customHeight="1">
      <c r="B461" s="67"/>
    </row>
    <row r="462" ht="13.5" customHeight="1">
      <c r="B462" s="67"/>
    </row>
    <row r="463" ht="13.5" customHeight="1">
      <c r="B463" s="67"/>
    </row>
    <row r="464" ht="13.5" customHeight="1">
      <c r="B464" s="67"/>
    </row>
    <row r="465" ht="13.5" customHeight="1">
      <c r="B465" s="67"/>
    </row>
    <row r="466" ht="13.5" customHeight="1">
      <c r="B466" s="67"/>
    </row>
    <row r="467" ht="13.5" customHeight="1">
      <c r="B467" s="67"/>
    </row>
    <row r="468" ht="13.5" customHeight="1">
      <c r="B468" s="67"/>
    </row>
    <row r="469" ht="13.5" customHeight="1">
      <c r="B469" s="67"/>
    </row>
    <row r="470" ht="13.5" customHeight="1">
      <c r="B470" s="67"/>
    </row>
    <row r="471" ht="13.5" customHeight="1">
      <c r="B471" s="67"/>
    </row>
    <row r="472" ht="13.5" customHeight="1">
      <c r="B472" s="67"/>
    </row>
    <row r="473" ht="13.5" customHeight="1">
      <c r="B473" s="67"/>
    </row>
    <row r="474" ht="13.5" customHeight="1">
      <c r="B474" s="67"/>
    </row>
    <row r="475" ht="13.5" customHeight="1">
      <c r="B475" s="67"/>
    </row>
    <row r="476" ht="13.5" customHeight="1">
      <c r="B476" s="67"/>
    </row>
    <row r="477" ht="13.5" customHeight="1">
      <c r="B477" s="67"/>
    </row>
    <row r="478" ht="13.5" customHeight="1">
      <c r="B478" s="67"/>
    </row>
    <row r="479" ht="13.5" customHeight="1">
      <c r="B479" s="67"/>
    </row>
    <row r="480" ht="13.5" customHeight="1">
      <c r="B480" s="67"/>
    </row>
    <row r="481" ht="13.5" customHeight="1">
      <c r="B481" s="67"/>
    </row>
    <row r="482" ht="13.5" customHeight="1">
      <c r="B482" s="67"/>
    </row>
    <row r="483" ht="13.5" customHeight="1">
      <c r="B483" s="67"/>
    </row>
    <row r="484" ht="13.5" customHeight="1">
      <c r="B484" s="67"/>
    </row>
    <row r="485" ht="13.5" customHeight="1">
      <c r="B485" s="67"/>
    </row>
    <row r="486" ht="13.5" customHeight="1">
      <c r="B486" s="67"/>
    </row>
    <row r="487" ht="13.5" customHeight="1">
      <c r="B487" s="67"/>
    </row>
    <row r="488" ht="13.5" customHeight="1">
      <c r="B488" s="67"/>
    </row>
    <row r="489" ht="13.5" customHeight="1">
      <c r="B489" s="67"/>
    </row>
    <row r="490" ht="13.5" customHeight="1">
      <c r="B490" s="67"/>
    </row>
    <row r="491" ht="13.5" customHeight="1">
      <c r="B491" s="67"/>
    </row>
    <row r="492" ht="13.5" customHeight="1">
      <c r="B492" s="67"/>
    </row>
    <row r="493" ht="13.5" customHeight="1">
      <c r="B493" s="67"/>
    </row>
    <row r="494" ht="13.5" customHeight="1">
      <c r="B494" s="67"/>
    </row>
    <row r="495" ht="13.5" customHeight="1">
      <c r="B495" s="67"/>
    </row>
    <row r="496" ht="13.5" customHeight="1">
      <c r="B496" s="67"/>
    </row>
    <row r="497" ht="13.5" customHeight="1">
      <c r="B497" s="67"/>
    </row>
    <row r="498" ht="13.5" customHeight="1">
      <c r="B498" s="67"/>
    </row>
    <row r="499" ht="13.5" customHeight="1">
      <c r="B499" s="67"/>
    </row>
    <row r="500" ht="13.5" customHeight="1">
      <c r="B500" s="67"/>
    </row>
    <row r="501" ht="13.5" customHeight="1">
      <c r="B501" s="67"/>
    </row>
    <row r="502" ht="13.5" customHeight="1">
      <c r="B502" s="67"/>
    </row>
    <row r="503" ht="13.5" customHeight="1">
      <c r="B503" s="67"/>
    </row>
    <row r="504" ht="13.5" customHeight="1">
      <c r="B504" s="67"/>
    </row>
    <row r="505" ht="13.5" customHeight="1">
      <c r="B505" s="67"/>
    </row>
    <row r="506" ht="13.5" customHeight="1">
      <c r="B506" s="67"/>
    </row>
    <row r="507" ht="13.5" customHeight="1">
      <c r="B507" s="67"/>
    </row>
    <row r="508" ht="13.5" customHeight="1">
      <c r="B508" s="67"/>
    </row>
    <row r="509" ht="13.5" customHeight="1">
      <c r="B509" s="67"/>
    </row>
    <row r="510" ht="13.5" customHeight="1">
      <c r="B510" s="67"/>
    </row>
    <row r="511" ht="13.5" customHeight="1">
      <c r="B511" s="67"/>
    </row>
    <row r="512" ht="13.5" customHeight="1">
      <c r="B512" s="67"/>
    </row>
    <row r="513" ht="13.5" customHeight="1">
      <c r="B513" s="67"/>
    </row>
    <row r="514" ht="13.5" customHeight="1">
      <c r="B514" s="67"/>
    </row>
    <row r="515" ht="13.5" customHeight="1">
      <c r="B515" s="67"/>
    </row>
    <row r="516" ht="13.5" customHeight="1">
      <c r="B516" s="67"/>
    </row>
    <row r="517" ht="13.5" customHeight="1">
      <c r="B517" s="67"/>
    </row>
    <row r="518" ht="13.5" customHeight="1">
      <c r="B518" s="67"/>
    </row>
    <row r="519" ht="13.5" customHeight="1">
      <c r="B519" s="67"/>
    </row>
    <row r="520" ht="13.5" customHeight="1">
      <c r="B520" s="67"/>
    </row>
    <row r="521" ht="13.5" customHeight="1">
      <c r="B521" s="67"/>
    </row>
    <row r="522" ht="13.5" customHeight="1">
      <c r="B522" s="67"/>
    </row>
    <row r="523" ht="13.5" customHeight="1">
      <c r="B523" s="67"/>
    </row>
    <row r="524" ht="13.5" customHeight="1">
      <c r="B524" s="67"/>
    </row>
    <row r="525" ht="13.5" customHeight="1">
      <c r="B525" s="67"/>
    </row>
    <row r="526" ht="13.5" customHeight="1">
      <c r="B526" s="67"/>
    </row>
    <row r="527" ht="13.5" customHeight="1">
      <c r="B527" s="67"/>
    </row>
    <row r="528" ht="13.5" customHeight="1">
      <c r="B528" s="67"/>
    </row>
    <row r="529" ht="13.5" customHeight="1">
      <c r="B529" s="67"/>
    </row>
    <row r="530" ht="13.5" customHeight="1">
      <c r="B530" s="67"/>
    </row>
    <row r="531" ht="13.5" customHeight="1">
      <c r="B531" s="67"/>
    </row>
    <row r="532" ht="13.5" customHeight="1">
      <c r="B532" s="67"/>
    </row>
    <row r="533" ht="13.5" customHeight="1">
      <c r="B533" s="67"/>
    </row>
    <row r="534" ht="13.5" customHeight="1">
      <c r="B534" s="67"/>
    </row>
    <row r="535" ht="13.5" customHeight="1">
      <c r="B535" s="67"/>
    </row>
    <row r="536" ht="13.5" customHeight="1">
      <c r="B536" s="67"/>
    </row>
    <row r="537" ht="13.5" customHeight="1">
      <c r="B537" s="67"/>
    </row>
    <row r="538" ht="13.5" customHeight="1">
      <c r="B538" s="67"/>
    </row>
    <row r="539" ht="13.5" customHeight="1">
      <c r="B539" s="67"/>
    </row>
    <row r="540" ht="13.5" customHeight="1">
      <c r="B540" s="67"/>
    </row>
    <row r="541" ht="13.5" customHeight="1">
      <c r="B541" s="67"/>
    </row>
    <row r="542" ht="13.5" customHeight="1">
      <c r="B542" s="67"/>
    </row>
    <row r="543" ht="13.5" customHeight="1">
      <c r="B543" s="67"/>
    </row>
    <row r="544" ht="13.5" customHeight="1">
      <c r="B544" s="67"/>
    </row>
    <row r="545" ht="13.5" customHeight="1">
      <c r="B545" s="67"/>
    </row>
    <row r="546" ht="13.5" customHeight="1">
      <c r="B546" s="67"/>
    </row>
    <row r="547" ht="13.5" customHeight="1">
      <c r="B547" s="67"/>
    </row>
    <row r="548" ht="13.5" customHeight="1">
      <c r="B548" s="67"/>
    </row>
    <row r="549" ht="13.5" customHeight="1">
      <c r="B549" s="67"/>
    </row>
    <row r="550" ht="13.5" customHeight="1">
      <c r="B550" s="67"/>
    </row>
    <row r="551" ht="13.5" customHeight="1">
      <c r="B551" s="67"/>
    </row>
    <row r="552" ht="13.5" customHeight="1">
      <c r="B552" s="67"/>
    </row>
    <row r="553" ht="13.5" customHeight="1">
      <c r="B553" s="67"/>
    </row>
    <row r="554" ht="13.5" customHeight="1">
      <c r="B554" s="67"/>
    </row>
    <row r="555" ht="13.5" customHeight="1">
      <c r="B555" s="67"/>
    </row>
    <row r="556" ht="13.5" customHeight="1">
      <c r="B556" s="67"/>
    </row>
    <row r="557" ht="13.5" customHeight="1">
      <c r="B557" s="67"/>
    </row>
    <row r="558" ht="13.5" customHeight="1">
      <c r="B558" s="67"/>
    </row>
    <row r="559" ht="13.5" customHeight="1">
      <c r="B559" s="67"/>
    </row>
    <row r="560" ht="13.5" customHeight="1">
      <c r="B560" s="67"/>
    </row>
    <row r="561" ht="13.5" customHeight="1">
      <c r="B561" s="67"/>
    </row>
    <row r="562" ht="13.5" customHeight="1">
      <c r="B562" s="67"/>
    </row>
    <row r="563" ht="13.5" customHeight="1">
      <c r="B563" s="67"/>
    </row>
    <row r="564" ht="13.5" customHeight="1">
      <c r="B564" s="67"/>
    </row>
    <row r="565" ht="13.5" customHeight="1">
      <c r="B565" s="67"/>
    </row>
    <row r="566" ht="13.5" customHeight="1">
      <c r="B566" s="67"/>
    </row>
    <row r="567" ht="13.5" customHeight="1">
      <c r="B567" s="67"/>
    </row>
    <row r="568" ht="13.5" customHeight="1">
      <c r="B568" s="67"/>
    </row>
    <row r="569" ht="13.5" customHeight="1">
      <c r="B569" s="67"/>
    </row>
    <row r="570" ht="13.5" customHeight="1">
      <c r="B570" s="67"/>
    </row>
    <row r="571" ht="13.5" customHeight="1">
      <c r="B571" s="67"/>
    </row>
    <row r="572" ht="13.5" customHeight="1">
      <c r="B572" s="67"/>
    </row>
    <row r="573" ht="13.5" customHeight="1">
      <c r="B573" s="67"/>
    </row>
    <row r="574" ht="13.5" customHeight="1">
      <c r="B574" s="67"/>
    </row>
    <row r="575" ht="13.5" customHeight="1">
      <c r="B575" s="67"/>
    </row>
    <row r="576" ht="13.5" customHeight="1">
      <c r="B576" s="67"/>
    </row>
    <row r="577" ht="13.5" customHeight="1">
      <c r="B577" s="67"/>
    </row>
    <row r="578" ht="13.5" customHeight="1">
      <c r="B578" s="67"/>
    </row>
    <row r="579" ht="13.5" customHeight="1">
      <c r="B579" s="67"/>
    </row>
    <row r="580" ht="13.5" customHeight="1">
      <c r="B580" s="67"/>
    </row>
    <row r="581" ht="13.5" customHeight="1">
      <c r="B581" s="67"/>
    </row>
    <row r="582" ht="13.5" customHeight="1">
      <c r="B582" s="67"/>
    </row>
    <row r="583" ht="13.5" customHeight="1">
      <c r="B583" s="67"/>
    </row>
    <row r="584" ht="13.5" customHeight="1">
      <c r="B584" s="67"/>
    </row>
    <row r="585" ht="13.5" customHeight="1">
      <c r="B585" s="67"/>
    </row>
    <row r="586" ht="13.5" customHeight="1">
      <c r="B586" s="67"/>
    </row>
    <row r="587" ht="13.5" customHeight="1">
      <c r="B587" s="67"/>
    </row>
    <row r="588" ht="13.5" customHeight="1">
      <c r="B588" s="67"/>
    </row>
    <row r="589" ht="13.5" customHeight="1">
      <c r="B589" s="67"/>
    </row>
    <row r="590" ht="13.5" customHeight="1">
      <c r="B590" s="67"/>
    </row>
    <row r="591" ht="13.5" customHeight="1">
      <c r="B591" s="67"/>
    </row>
    <row r="592" ht="13.5" customHeight="1">
      <c r="B592" s="67"/>
    </row>
    <row r="593" ht="13.5" customHeight="1">
      <c r="B593" s="67"/>
    </row>
    <row r="594" ht="13.5" customHeight="1">
      <c r="B594" s="67"/>
    </row>
    <row r="595" ht="13.5" customHeight="1">
      <c r="B595" s="67"/>
    </row>
    <row r="596" ht="13.5" customHeight="1">
      <c r="B596" s="67"/>
    </row>
    <row r="597" ht="13.5" customHeight="1">
      <c r="B597" s="67"/>
    </row>
    <row r="598" ht="13.5" customHeight="1">
      <c r="B598" s="67"/>
    </row>
    <row r="599" ht="13.5" customHeight="1">
      <c r="B599" s="67"/>
    </row>
    <row r="600" ht="13.5" customHeight="1">
      <c r="B600" s="67"/>
    </row>
    <row r="601" ht="13.5" customHeight="1">
      <c r="B601" s="67"/>
    </row>
    <row r="602" ht="13.5" customHeight="1">
      <c r="B602" s="67"/>
    </row>
    <row r="603" ht="13.5" customHeight="1">
      <c r="B603" s="67"/>
    </row>
    <row r="604" ht="13.5" customHeight="1">
      <c r="B604" s="67"/>
    </row>
    <row r="605" ht="13.5" customHeight="1">
      <c r="B605" s="67"/>
    </row>
    <row r="606" ht="13.5" customHeight="1">
      <c r="B606" s="67"/>
    </row>
    <row r="607" ht="13.5" customHeight="1">
      <c r="B607" s="67"/>
    </row>
    <row r="608" ht="13.5" customHeight="1">
      <c r="B608" s="67"/>
    </row>
    <row r="609" ht="13.5" customHeight="1">
      <c r="B609" s="67"/>
    </row>
    <row r="610" ht="13.5" customHeight="1">
      <c r="B610" s="67"/>
    </row>
    <row r="611" ht="13.5" customHeight="1">
      <c r="B611" s="67"/>
    </row>
    <row r="612" ht="13.5" customHeight="1">
      <c r="B612" s="67"/>
    </row>
    <row r="613" ht="13.5" customHeight="1">
      <c r="B613" s="67"/>
    </row>
    <row r="614" ht="13.5" customHeight="1">
      <c r="B614" s="67"/>
    </row>
    <row r="615" ht="13.5" customHeight="1">
      <c r="B615" s="67"/>
    </row>
    <row r="616" ht="13.5" customHeight="1">
      <c r="B616" s="67"/>
    </row>
    <row r="617" ht="13.5" customHeight="1">
      <c r="B617" s="67"/>
    </row>
    <row r="618" ht="13.5" customHeight="1">
      <c r="B618" s="67"/>
    </row>
    <row r="619" ht="13.5" customHeight="1">
      <c r="B619" s="67"/>
    </row>
    <row r="620" ht="13.5" customHeight="1">
      <c r="B620" s="67"/>
    </row>
    <row r="621" ht="13.5" customHeight="1">
      <c r="B621" s="67"/>
    </row>
    <row r="622" ht="13.5" customHeight="1">
      <c r="B622" s="67"/>
    </row>
    <row r="623" ht="13.5" customHeight="1">
      <c r="B623" s="67"/>
    </row>
    <row r="624" ht="13.5" customHeight="1">
      <c r="B624" s="67"/>
    </row>
    <row r="625" ht="13.5" customHeight="1">
      <c r="B625" s="67"/>
    </row>
    <row r="626" ht="13.5" customHeight="1">
      <c r="B626" s="67"/>
    </row>
    <row r="627" ht="13.5" customHeight="1">
      <c r="B627" s="67"/>
    </row>
    <row r="628" ht="13.5" customHeight="1">
      <c r="B628" s="67"/>
    </row>
    <row r="629" ht="13.5" customHeight="1">
      <c r="B629" s="67"/>
    </row>
    <row r="630" ht="13.5" customHeight="1">
      <c r="B630" s="67"/>
    </row>
    <row r="631" ht="13.5" customHeight="1">
      <c r="B631" s="67"/>
    </row>
    <row r="632" ht="13.5" customHeight="1">
      <c r="B632" s="67"/>
    </row>
    <row r="633" ht="13.5" customHeight="1">
      <c r="B633" s="67"/>
    </row>
    <row r="634" ht="13.5" customHeight="1">
      <c r="B634" s="67"/>
    </row>
    <row r="635" ht="13.5" customHeight="1">
      <c r="B635" s="67"/>
    </row>
    <row r="636" ht="13.5" customHeight="1">
      <c r="B636" s="67"/>
    </row>
    <row r="637" ht="13.5" customHeight="1">
      <c r="B637" s="67"/>
    </row>
    <row r="638" ht="13.5" customHeight="1">
      <c r="B638" s="67"/>
    </row>
    <row r="639" ht="13.5" customHeight="1">
      <c r="B639" s="67"/>
    </row>
    <row r="640" ht="13.5" customHeight="1">
      <c r="B640" s="67"/>
    </row>
    <row r="641" ht="13.5" customHeight="1">
      <c r="B641" s="67"/>
    </row>
    <row r="642" ht="13.5" customHeight="1">
      <c r="B642" s="67"/>
    </row>
    <row r="643" ht="13.5" customHeight="1">
      <c r="B643" s="67"/>
    </row>
    <row r="644" ht="13.5" customHeight="1">
      <c r="B644" s="67"/>
    </row>
    <row r="645" ht="13.5" customHeight="1">
      <c r="B645" s="67"/>
    </row>
    <row r="646" ht="13.5" customHeight="1">
      <c r="B646" s="67"/>
    </row>
    <row r="647" ht="13.5" customHeight="1">
      <c r="B647" s="67"/>
    </row>
    <row r="648" ht="13.5" customHeight="1">
      <c r="B648" s="67"/>
    </row>
    <row r="649" ht="13.5" customHeight="1">
      <c r="B649" s="67"/>
    </row>
    <row r="650" ht="13.5" customHeight="1">
      <c r="B650" s="67"/>
    </row>
    <row r="651" ht="13.5" customHeight="1">
      <c r="B651" s="67"/>
    </row>
    <row r="652" ht="13.5" customHeight="1">
      <c r="B652" s="67"/>
    </row>
    <row r="653" ht="13.5" customHeight="1">
      <c r="B653" s="67"/>
    </row>
    <row r="654" ht="13.5" customHeight="1">
      <c r="B654" s="67"/>
    </row>
    <row r="655" ht="13.5" customHeight="1">
      <c r="B655" s="67"/>
    </row>
    <row r="656" ht="13.5" customHeight="1">
      <c r="B656" s="67"/>
    </row>
    <row r="657" ht="13.5" customHeight="1">
      <c r="B657" s="67"/>
    </row>
    <row r="658" ht="13.5" customHeight="1">
      <c r="B658" s="67"/>
    </row>
    <row r="659" ht="13.5" customHeight="1">
      <c r="B659" s="67"/>
    </row>
    <row r="660" ht="13.5" customHeight="1">
      <c r="B660" s="67"/>
    </row>
    <row r="661" ht="13.5" customHeight="1">
      <c r="B661" s="67"/>
    </row>
    <row r="662" ht="13.5" customHeight="1">
      <c r="B662" s="67"/>
    </row>
    <row r="663" ht="13.5" customHeight="1">
      <c r="B663" s="67"/>
    </row>
    <row r="664" ht="13.5" customHeight="1">
      <c r="B664" s="67"/>
    </row>
    <row r="665" ht="13.5" customHeight="1">
      <c r="B665" s="67"/>
    </row>
    <row r="666" ht="13.5" customHeight="1">
      <c r="B666" s="67"/>
    </row>
    <row r="667" ht="13.5" customHeight="1">
      <c r="B667" s="67"/>
    </row>
    <row r="668" ht="13.5" customHeight="1">
      <c r="B668" s="67"/>
    </row>
    <row r="669" ht="13.5" customHeight="1">
      <c r="B669" s="67"/>
    </row>
    <row r="670" ht="13.5" customHeight="1">
      <c r="B670" s="67"/>
    </row>
    <row r="671" ht="13.5" customHeight="1">
      <c r="B671" s="67"/>
    </row>
    <row r="672" ht="13.5" customHeight="1">
      <c r="B672" s="67"/>
    </row>
    <row r="673" ht="13.5" customHeight="1">
      <c r="B673" s="67"/>
    </row>
    <row r="674" ht="13.5" customHeight="1">
      <c r="B674" s="67"/>
    </row>
    <row r="675" ht="13.5" customHeight="1">
      <c r="B675" s="67"/>
    </row>
    <row r="676" ht="13.5" customHeight="1">
      <c r="B676" s="67"/>
    </row>
    <row r="677" ht="13.5" customHeight="1">
      <c r="B677" s="67"/>
    </row>
    <row r="678" ht="13.5" customHeight="1">
      <c r="B678" s="67"/>
    </row>
    <row r="679" ht="13.5" customHeight="1">
      <c r="B679" s="67"/>
    </row>
    <row r="680" ht="13.5" customHeight="1">
      <c r="B680" s="67"/>
    </row>
    <row r="681" ht="13.5" customHeight="1">
      <c r="B681" s="67"/>
    </row>
    <row r="682" ht="13.5" customHeight="1">
      <c r="B682" s="67"/>
    </row>
    <row r="683" ht="13.5" customHeight="1">
      <c r="B683" s="67"/>
    </row>
    <row r="684" ht="13.5" customHeight="1">
      <c r="B684" s="67"/>
    </row>
    <row r="685" ht="13.5" customHeight="1">
      <c r="B685" s="67"/>
    </row>
    <row r="686" ht="13.5" customHeight="1">
      <c r="B686" s="67"/>
    </row>
    <row r="687" ht="13.5" customHeight="1">
      <c r="B687" s="67"/>
    </row>
    <row r="688" ht="13.5" customHeight="1">
      <c r="B688" s="67"/>
    </row>
    <row r="689" ht="13.5" customHeight="1">
      <c r="B689" s="67"/>
    </row>
    <row r="690" ht="13.5" customHeight="1">
      <c r="B690" s="67"/>
    </row>
    <row r="691" ht="13.5" customHeight="1">
      <c r="B691" s="67"/>
    </row>
    <row r="692" ht="13.5" customHeight="1">
      <c r="B692" s="67"/>
    </row>
    <row r="693" ht="13.5" customHeight="1">
      <c r="B693" s="67"/>
    </row>
    <row r="694" ht="13.5" customHeight="1">
      <c r="B694" s="67"/>
    </row>
    <row r="695" ht="13.5" customHeight="1">
      <c r="B695" s="67"/>
    </row>
    <row r="696" ht="13.5" customHeight="1">
      <c r="B696" s="67"/>
    </row>
    <row r="697" ht="13.5" customHeight="1">
      <c r="B697" s="67"/>
    </row>
    <row r="698" ht="13.5" customHeight="1">
      <c r="B698" s="67"/>
    </row>
    <row r="699" ht="13.5" customHeight="1">
      <c r="B699" s="67"/>
    </row>
    <row r="700" ht="13.5" customHeight="1">
      <c r="B700" s="67"/>
    </row>
    <row r="701" ht="13.5" customHeight="1">
      <c r="B701" s="67"/>
    </row>
    <row r="702" ht="13.5" customHeight="1">
      <c r="B702" s="67"/>
    </row>
    <row r="703" ht="13.5" customHeight="1">
      <c r="B703" s="67"/>
    </row>
    <row r="704" ht="13.5" customHeight="1">
      <c r="B704" s="67"/>
    </row>
    <row r="705" ht="13.5" customHeight="1">
      <c r="B705" s="67"/>
    </row>
    <row r="706" ht="13.5" customHeight="1">
      <c r="B706" s="67"/>
    </row>
    <row r="707" ht="13.5" customHeight="1">
      <c r="B707" s="67"/>
    </row>
    <row r="708" ht="13.5" customHeight="1">
      <c r="B708" s="67"/>
    </row>
    <row r="709" ht="13.5" customHeight="1">
      <c r="B709" s="67"/>
    </row>
    <row r="710" ht="13.5" customHeight="1">
      <c r="B710" s="67"/>
    </row>
    <row r="711" ht="13.5" customHeight="1">
      <c r="B711" s="67"/>
    </row>
    <row r="712" ht="13.5" customHeight="1">
      <c r="B712" s="67"/>
    </row>
    <row r="713" ht="13.5" customHeight="1">
      <c r="B713" s="67"/>
    </row>
    <row r="714" ht="13.5" customHeight="1">
      <c r="B714" s="67"/>
    </row>
    <row r="715" ht="13.5" customHeight="1">
      <c r="B715" s="67"/>
    </row>
    <row r="716" ht="13.5" customHeight="1">
      <c r="B716" s="67"/>
    </row>
    <row r="717" ht="13.5" customHeight="1">
      <c r="B717" s="67"/>
    </row>
    <row r="718" ht="13.5" customHeight="1">
      <c r="B718" s="67"/>
    </row>
    <row r="719" ht="13.5" customHeight="1">
      <c r="B719" s="67"/>
    </row>
    <row r="720" ht="13.5" customHeight="1">
      <c r="B720" s="67"/>
    </row>
    <row r="721" ht="13.5" customHeight="1">
      <c r="B721" s="67"/>
    </row>
    <row r="722" ht="13.5" customHeight="1">
      <c r="B722" s="67"/>
    </row>
    <row r="723" ht="13.5" customHeight="1">
      <c r="B723" s="67"/>
    </row>
    <row r="724" ht="13.5" customHeight="1">
      <c r="B724" s="67"/>
    </row>
    <row r="725" ht="13.5" customHeight="1">
      <c r="B725" s="67"/>
    </row>
    <row r="726" ht="13.5" customHeight="1">
      <c r="B726" s="67"/>
    </row>
    <row r="727" ht="13.5" customHeight="1">
      <c r="B727" s="67"/>
    </row>
    <row r="728" ht="13.5" customHeight="1">
      <c r="B728" s="67"/>
    </row>
    <row r="729" ht="13.5" customHeight="1">
      <c r="B729" s="67"/>
    </row>
    <row r="730" ht="13.5" customHeight="1">
      <c r="B730" s="67"/>
    </row>
    <row r="731" ht="13.5" customHeight="1">
      <c r="B731" s="67"/>
    </row>
    <row r="732" ht="13.5" customHeight="1">
      <c r="B732" s="67"/>
    </row>
    <row r="733" ht="13.5" customHeight="1">
      <c r="B733" s="67"/>
    </row>
    <row r="734" ht="13.5" customHeight="1">
      <c r="B734" s="67"/>
    </row>
    <row r="735" ht="13.5" customHeight="1">
      <c r="B735" s="67"/>
    </row>
    <row r="736" ht="13.5" customHeight="1">
      <c r="B736" s="67"/>
    </row>
    <row r="737" ht="13.5" customHeight="1">
      <c r="B737" s="67"/>
    </row>
    <row r="738" ht="13.5" customHeight="1">
      <c r="B738" s="67"/>
    </row>
    <row r="739" ht="13.5" customHeight="1">
      <c r="B739" s="67"/>
    </row>
    <row r="740" ht="13.5" customHeight="1">
      <c r="B740" s="67"/>
    </row>
    <row r="741" ht="13.5" customHeight="1">
      <c r="B741" s="67"/>
    </row>
    <row r="742" ht="13.5" customHeight="1">
      <c r="B742" s="67"/>
    </row>
    <row r="743" ht="13.5" customHeight="1">
      <c r="B743" s="67"/>
    </row>
    <row r="744" ht="13.5" customHeight="1">
      <c r="B744" s="67"/>
    </row>
    <row r="745" ht="13.5" customHeight="1">
      <c r="B745" s="67"/>
    </row>
    <row r="746" ht="13.5" customHeight="1">
      <c r="B746" s="67"/>
    </row>
    <row r="747" ht="13.5" customHeight="1">
      <c r="B747" s="67"/>
    </row>
    <row r="748" ht="13.5" customHeight="1">
      <c r="B748" s="67"/>
    </row>
    <row r="749" ht="13.5" customHeight="1">
      <c r="B749" s="67"/>
    </row>
    <row r="750" ht="13.5" customHeight="1">
      <c r="B750" s="67"/>
    </row>
    <row r="751" ht="13.5" customHeight="1">
      <c r="B751" s="67"/>
    </row>
    <row r="752" ht="13.5" customHeight="1">
      <c r="B752" s="67"/>
    </row>
    <row r="753" ht="13.5" customHeight="1">
      <c r="B753" s="67"/>
    </row>
    <row r="754" ht="13.5" customHeight="1">
      <c r="B754" s="67"/>
    </row>
    <row r="755" ht="13.5" customHeight="1">
      <c r="B755" s="67"/>
    </row>
    <row r="756" ht="13.5" customHeight="1">
      <c r="B756" s="67"/>
    </row>
    <row r="757" ht="13.5" customHeight="1">
      <c r="B757" s="67"/>
    </row>
    <row r="758" ht="13.5" customHeight="1">
      <c r="B758" s="67"/>
    </row>
    <row r="759" ht="13.5" customHeight="1">
      <c r="B759" s="67"/>
    </row>
    <row r="760" ht="13.5" customHeight="1">
      <c r="B760" s="67"/>
    </row>
    <row r="761" ht="13.5" customHeight="1">
      <c r="B761" s="67"/>
    </row>
    <row r="762" ht="13.5" customHeight="1">
      <c r="B762" s="67"/>
    </row>
    <row r="763" ht="13.5" customHeight="1">
      <c r="B763" s="67"/>
    </row>
    <row r="764" ht="13.5" customHeight="1">
      <c r="B764" s="67"/>
    </row>
    <row r="765" ht="13.5" customHeight="1">
      <c r="B765" s="67"/>
    </row>
    <row r="766" ht="13.5" customHeight="1">
      <c r="B766" s="67"/>
    </row>
    <row r="767" ht="13.5" customHeight="1">
      <c r="B767" s="67"/>
    </row>
    <row r="768" ht="13.5" customHeight="1">
      <c r="B768" s="67"/>
    </row>
    <row r="769" ht="13.5" customHeight="1">
      <c r="B769" s="67"/>
    </row>
    <row r="770" ht="13.5" customHeight="1">
      <c r="B770" s="67"/>
    </row>
    <row r="771" ht="13.5" customHeight="1">
      <c r="B771" s="67"/>
    </row>
    <row r="772" ht="13.5" customHeight="1">
      <c r="B772" s="67"/>
    </row>
    <row r="773" ht="13.5" customHeight="1">
      <c r="B773" s="67"/>
    </row>
    <row r="774" ht="13.5" customHeight="1">
      <c r="B774" s="67"/>
    </row>
    <row r="775" ht="13.5" customHeight="1">
      <c r="B775" s="67"/>
    </row>
    <row r="776" ht="13.5" customHeight="1">
      <c r="B776" s="67"/>
    </row>
    <row r="777" ht="13.5" customHeight="1">
      <c r="B777" s="67"/>
    </row>
    <row r="778" ht="13.5" customHeight="1">
      <c r="B778" s="67"/>
    </row>
    <row r="779" ht="13.5" customHeight="1">
      <c r="B779" s="67"/>
    </row>
    <row r="780" ht="13.5" customHeight="1">
      <c r="B780" s="67"/>
    </row>
    <row r="781" ht="13.5" customHeight="1">
      <c r="B781" s="67"/>
    </row>
    <row r="782" ht="13.5" customHeight="1">
      <c r="B782" s="67"/>
    </row>
    <row r="783" ht="13.5" customHeight="1">
      <c r="B783" s="67"/>
    </row>
    <row r="784" ht="13.5" customHeight="1">
      <c r="B784" s="67"/>
    </row>
    <row r="785" ht="13.5" customHeight="1">
      <c r="B785" s="67"/>
    </row>
    <row r="786" ht="13.5" customHeight="1">
      <c r="B786" s="67"/>
    </row>
    <row r="787" ht="13.5" customHeight="1">
      <c r="B787" s="67"/>
    </row>
    <row r="788" ht="13.5" customHeight="1">
      <c r="B788" s="67"/>
    </row>
    <row r="789" ht="13.5" customHeight="1">
      <c r="B789" s="67"/>
    </row>
    <row r="790" ht="13.5" customHeight="1">
      <c r="B790" s="67"/>
    </row>
    <row r="791" ht="13.5" customHeight="1">
      <c r="B791" s="67"/>
    </row>
    <row r="792" ht="13.5" customHeight="1">
      <c r="B792" s="67"/>
    </row>
    <row r="793" ht="13.5" customHeight="1">
      <c r="B793" s="67"/>
    </row>
    <row r="794" ht="13.5" customHeight="1">
      <c r="B794" s="67"/>
    </row>
    <row r="795" ht="13.5" customHeight="1">
      <c r="B795" s="67"/>
    </row>
    <row r="796" ht="13.5" customHeight="1">
      <c r="B796" s="67"/>
    </row>
    <row r="797" ht="13.5" customHeight="1">
      <c r="B797" s="67"/>
    </row>
    <row r="798" ht="13.5" customHeight="1">
      <c r="B798" s="67"/>
    </row>
    <row r="799" ht="13.5" customHeight="1">
      <c r="B799" s="67"/>
    </row>
    <row r="800" ht="13.5" customHeight="1">
      <c r="B800" s="67"/>
    </row>
    <row r="801" ht="13.5" customHeight="1">
      <c r="B801" s="67"/>
    </row>
    <row r="802" ht="13.5" customHeight="1">
      <c r="B802" s="67"/>
    </row>
    <row r="803" ht="13.5" customHeight="1">
      <c r="B803" s="67"/>
    </row>
    <row r="804" ht="13.5" customHeight="1">
      <c r="B804" s="67"/>
    </row>
    <row r="805" ht="13.5" customHeight="1">
      <c r="B805" s="67"/>
    </row>
    <row r="806" ht="13.5" customHeight="1">
      <c r="B806" s="67"/>
    </row>
    <row r="807" ht="13.5" customHeight="1">
      <c r="B807" s="67"/>
    </row>
    <row r="808" ht="13.5" customHeight="1">
      <c r="B808" s="67"/>
    </row>
    <row r="809" ht="13.5" customHeight="1">
      <c r="B809" s="67"/>
    </row>
    <row r="810" ht="13.5" customHeight="1">
      <c r="B810" s="67"/>
    </row>
    <row r="811" ht="13.5" customHeight="1">
      <c r="B811" s="67"/>
    </row>
    <row r="812" ht="13.5" customHeight="1">
      <c r="B812" s="67"/>
    </row>
    <row r="813" ht="13.5" customHeight="1">
      <c r="B813" s="67"/>
    </row>
    <row r="814" ht="13.5" customHeight="1">
      <c r="B814" s="67"/>
    </row>
    <row r="815" ht="13.5" customHeight="1">
      <c r="B815" s="67"/>
    </row>
    <row r="816" ht="13.5" customHeight="1">
      <c r="B816" s="67"/>
    </row>
    <row r="817" ht="13.5" customHeight="1">
      <c r="B817" s="67"/>
    </row>
    <row r="818" ht="13.5" customHeight="1">
      <c r="B818" s="67"/>
    </row>
    <row r="819" ht="13.5" customHeight="1">
      <c r="B819" s="67"/>
    </row>
    <row r="820" ht="13.5" customHeight="1">
      <c r="B820" s="67"/>
    </row>
    <row r="821" ht="13.5" customHeight="1">
      <c r="B821" s="67"/>
    </row>
    <row r="822" ht="13.5" customHeight="1">
      <c r="B822" s="67"/>
    </row>
    <row r="823" ht="13.5" customHeight="1">
      <c r="B823" s="67"/>
    </row>
    <row r="824" ht="13.5" customHeight="1">
      <c r="B824" s="67"/>
    </row>
    <row r="825" ht="13.5" customHeight="1">
      <c r="B825" s="67"/>
    </row>
    <row r="826" ht="13.5" customHeight="1">
      <c r="B826" s="67"/>
    </row>
    <row r="827" ht="13.5" customHeight="1">
      <c r="B827" s="67"/>
    </row>
    <row r="828" ht="13.5" customHeight="1">
      <c r="B828" s="67"/>
    </row>
    <row r="829" ht="13.5" customHeight="1">
      <c r="B829" s="67"/>
    </row>
    <row r="830" ht="13.5" customHeight="1">
      <c r="B830" s="67"/>
    </row>
    <row r="831" ht="13.5" customHeight="1">
      <c r="B831" s="67"/>
    </row>
    <row r="832" ht="13.5" customHeight="1">
      <c r="B832" s="67"/>
    </row>
    <row r="833" ht="13.5" customHeight="1">
      <c r="B833" s="67"/>
    </row>
    <row r="834" ht="13.5" customHeight="1">
      <c r="B834" s="67"/>
    </row>
    <row r="835" ht="13.5" customHeight="1">
      <c r="B835" s="67"/>
    </row>
    <row r="836" ht="13.5" customHeight="1">
      <c r="B836" s="67"/>
    </row>
    <row r="837" ht="13.5" customHeight="1">
      <c r="B837" s="67"/>
    </row>
    <row r="838" ht="13.5" customHeight="1">
      <c r="B838" s="67"/>
    </row>
    <row r="839" ht="13.5" customHeight="1">
      <c r="B839" s="67"/>
    </row>
    <row r="840" ht="13.5" customHeight="1">
      <c r="B840" s="67"/>
    </row>
    <row r="841" ht="13.5" customHeight="1">
      <c r="B841" s="67"/>
    </row>
    <row r="842" ht="13.5" customHeight="1">
      <c r="B842" s="67"/>
    </row>
    <row r="843" ht="13.5" customHeight="1">
      <c r="B843" s="67"/>
    </row>
    <row r="844" ht="13.5" customHeight="1">
      <c r="B844" s="67"/>
    </row>
    <row r="845" ht="13.5" customHeight="1">
      <c r="B845" s="67"/>
    </row>
    <row r="846" ht="13.5" customHeight="1">
      <c r="B846" s="67"/>
    </row>
    <row r="847" ht="13.5" customHeight="1">
      <c r="B847" s="67"/>
    </row>
    <row r="848" ht="13.5" customHeight="1">
      <c r="B848" s="67"/>
    </row>
    <row r="849" ht="13.5" customHeight="1">
      <c r="B849" s="67"/>
    </row>
    <row r="850" ht="13.5" customHeight="1">
      <c r="B850" s="67"/>
    </row>
    <row r="851" ht="13.5" customHeight="1">
      <c r="B851" s="67"/>
    </row>
    <row r="852" ht="13.5" customHeight="1">
      <c r="B852" s="67"/>
    </row>
    <row r="853" ht="13.5" customHeight="1">
      <c r="B853" s="67"/>
    </row>
    <row r="854" ht="13.5" customHeight="1">
      <c r="B854" s="67"/>
    </row>
    <row r="855" ht="13.5" customHeight="1">
      <c r="B855" s="67"/>
    </row>
    <row r="856" ht="13.5" customHeight="1">
      <c r="B856" s="67"/>
    </row>
    <row r="857" ht="13.5" customHeight="1">
      <c r="B857" s="67"/>
    </row>
    <row r="858" ht="13.5" customHeight="1">
      <c r="B858" s="67"/>
    </row>
    <row r="859" ht="13.5" customHeight="1">
      <c r="B859" s="67"/>
    </row>
    <row r="860" ht="13.5" customHeight="1">
      <c r="B860" s="67"/>
    </row>
    <row r="861" ht="13.5" customHeight="1">
      <c r="B861" s="67"/>
    </row>
    <row r="862" ht="13.5" customHeight="1">
      <c r="B862" s="67"/>
    </row>
    <row r="863" ht="13.5" customHeight="1">
      <c r="B863" s="67"/>
    </row>
    <row r="864" ht="13.5" customHeight="1">
      <c r="B864" s="67"/>
    </row>
    <row r="865" ht="13.5" customHeight="1">
      <c r="B865" s="67"/>
    </row>
    <row r="866" ht="13.5" customHeight="1">
      <c r="B866" s="67"/>
    </row>
    <row r="867" ht="13.5" customHeight="1">
      <c r="B867" s="67"/>
    </row>
    <row r="868" ht="13.5" customHeight="1">
      <c r="B868" s="67"/>
    </row>
    <row r="869" ht="13.5" customHeight="1">
      <c r="B869" s="67"/>
    </row>
    <row r="870" ht="13.5" customHeight="1">
      <c r="B870" s="67"/>
    </row>
    <row r="871" ht="13.5" customHeight="1">
      <c r="B871" s="67"/>
    </row>
    <row r="872" ht="13.5" customHeight="1">
      <c r="B872" s="67"/>
    </row>
    <row r="873" ht="13.5" customHeight="1">
      <c r="B873" s="67"/>
    </row>
    <row r="874" ht="13.5" customHeight="1">
      <c r="B874" s="67"/>
    </row>
    <row r="875" ht="13.5" customHeight="1">
      <c r="B875" s="67"/>
    </row>
    <row r="876" ht="13.5" customHeight="1">
      <c r="B876" s="67"/>
    </row>
    <row r="877" ht="13.5" customHeight="1">
      <c r="B877" s="67"/>
    </row>
    <row r="878" ht="13.5" customHeight="1">
      <c r="B878" s="67"/>
    </row>
    <row r="879" ht="13.5" customHeight="1">
      <c r="B879" s="67"/>
    </row>
    <row r="880" ht="13.5" customHeight="1">
      <c r="B880" s="67"/>
    </row>
    <row r="881" ht="13.5" customHeight="1">
      <c r="B881" s="67"/>
    </row>
    <row r="882" ht="13.5" customHeight="1">
      <c r="B882" s="67"/>
    </row>
    <row r="883" ht="13.5" customHeight="1">
      <c r="B883" s="67"/>
    </row>
    <row r="884" ht="13.5" customHeight="1">
      <c r="B884" s="67"/>
    </row>
    <row r="885" ht="13.5" customHeight="1">
      <c r="B885" s="67"/>
    </row>
    <row r="886" ht="13.5" customHeight="1">
      <c r="B886" s="67"/>
    </row>
    <row r="887" ht="13.5" customHeight="1">
      <c r="B887" s="67"/>
    </row>
    <row r="888" ht="13.5" customHeight="1">
      <c r="B888" s="67"/>
    </row>
    <row r="889" ht="13.5" customHeight="1">
      <c r="B889" s="67"/>
    </row>
    <row r="890" ht="13.5" customHeight="1">
      <c r="B890" s="67"/>
    </row>
    <row r="891" ht="13.5" customHeight="1">
      <c r="B891" s="67"/>
    </row>
    <row r="892" ht="13.5" customHeight="1">
      <c r="B892" s="67"/>
    </row>
    <row r="893" ht="13.5" customHeight="1">
      <c r="B893" s="67"/>
    </row>
    <row r="894" ht="13.5" customHeight="1">
      <c r="B894" s="67"/>
    </row>
    <row r="895" ht="13.5" customHeight="1">
      <c r="B895" s="67"/>
    </row>
    <row r="896" ht="13.5" customHeight="1">
      <c r="B896" s="67"/>
    </row>
    <row r="897" ht="13.5" customHeight="1">
      <c r="B897" s="67"/>
    </row>
    <row r="898" ht="13.5" customHeight="1">
      <c r="B898" s="67"/>
    </row>
    <row r="899" ht="13.5" customHeight="1">
      <c r="B899" s="67"/>
    </row>
    <row r="900" ht="13.5" customHeight="1">
      <c r="B900" s="67"/>
    </row>
    <row r="901" ht="13.5" customHeight="1">
      <c r="B901" s="67"/>
    </row>
    <row r="902" ht="13.5" customHeight="1">
      <c r="B902" s="67"/>
    </row>
    <row r="903" ht="13.5" customHeight="1">
      <c r="B903" s="67"/>
    </row>
    <row r="904" ht="13.5" customHeight="1">
      <c r="B904" s="67"/>
    </row>
    <row r="905" ht="13.5" customHeight="1">
      <c r="B905" s="67"/>
    </row>
    <row r="906" ht="13.5" customHeight="1">
      <c r="B906" s="67"/>
    </row>
    <row r="907" ht="13.5" customHeight="1">
      <c r="B907" s="67"/>
    </row>
    <row r="908" ht="13.5" customHeight="1">
      <c r="B908" s="67"/>
    </row>
    <row r="909" ht="13.5" customHeight="1">
      <c r="B909" s="67"/>
    </row>
    <row r="910" ht="13.5" customHeight="1">
      <c r="B910" s="67"/>
    </row>
    <row r="911" ht="13.5" customHeight="1">
      <c r="B911" s="67"/>
    </row>
    <row r="912" ht="13.5" customHeight="1">
      <c r="B912" s="67"/>
    </row>
    <row r="913" ht="13.5" customHeight="1">
      <c r="B913" s="67"/>
    </row>
    <row r="914" ht="13.5" customHeight="1">
      <c r="B914" s="67"/>
    </row>
    <row r="915" ht="13.5" customHeight="1">
      <c r="B915" s="67"/>
    </row>
    <row r="916" ht="13.5" customHeight="1">
      <c r="B916" s="67"/>
    </row>
    <row r="917" ht="13.5" customHeight="1">
      <c r="B917" s="67"/>
    </row>
    <row r="918" ht="13.5" customHeight="1">
      <c r="B918" s="67"/>
    </row>
    <row r="919" ht="13.5" customHeight="1">
      <c r="B919" s="67"/>
    </row>
    <row r="920" ht="13.5" customHeight="1">
      <c r="B920" s="67"/>
    </row>
    <row r="921" ht="13.5" customHeight="1">
      <c r="B921" s="67"/>
    </row>
    <row r="922" ht="13.5" customHeight="1">
      <c r="B922" s="67"/>
    </row>
    <row r="923" ht="13.5" customHeight="1">
      <c r="B923" s="67"/>
    </row>
    <row r="924" ht="13.5" customHeight="1">
      <c r="B924" s="67"/>
    </row>
    <row r="925" ht="13.5" customHeight="1">
      <c r="B925" s="67"/>
    </row>
    <row r="926" ht="13.5" customHeight="1">
      <c r="B926" s="67"/>
    </row>
    <row r="927" ht="13.5" customHeight="1">
      <c r="B927" s="67"/>
    </row>
    <row r="928" ht="13.5" customHeight="1">
      <c r="B928" s="67"/>
    </row>
    <row r="929" ht="13.5" customHeight="1">
      <c r="B929" s="67"/>
    </row>
    <row r="930" ht="13.5" customHeight="1">
      <c r="B930" s="67"/>
    </row>
    <row r="931" ht="13.5" customHeight="1">
      <c r="B931" s="67"/>
    </row>
    <row r="932" ht="13.5" customHeight="1">
      <c r="B932" s="67"/>
    </row>
    <row r="933" ht="13.5" customHeight="1">
      <c r="B933" s="67"/>
    </row>
    <row r="934" ht="13.5" customHeight="1">
      <c r="B934" s="67"/>
    </row>
    <row r="935" ht="13.5" customHeight="1">
      <c r="B935" s="67"/>
    </row>
    <row r="936" ht="13.5" customHeight="1">
      <c r="B936" s="67"/>
    </row>
    <row r="937" ht="13.5" customHeight="1">
      <c r="B937" s="67"/>
    </row>
    <row r="938" ht="13.5" customHeight="1">
      <c r="B938" s="67"/>
    </row>
    <row r="939" ht="13.5" customHeight="1">
      <c r="B939" s="67"/>
    </row>
    <row r="940" ht="13.5" customHeight="1">
      <c r="B940" s="67"/>
    </row>
    <row r="941" ht="13.5" customHeight="1">
      <c r="B941" s="67"/>
    </row>
    <row r="942" ht="13.5" customHeight="1">
      <c r="B942" s="67"/>
    </row>
    <row r="943" ht="13.5" customHeight="1">
      <c r="B943" s="67"/>
    </row>
    <row r="944" ht="13.5" customHeight="1">
      <c r="B944" s="67"/>
    </row>
    <row r="945" ht="13.5" customHeight="1">
      <c r="B945" s="67"/>
    </row>
    <row r="946" ht="13.5" customHeight="1">
      <c r="B946" s="67"/>
    </row>
    <row r="947" ht="13.5" customHeight="1">
      <c r="B947" s="67"/>
    </row>
    <row r="948" ht="13.5" customHeight="1">
      <c r="B948" s="67"/>
    </row>
    <row r="949" ht="13.5" customHeight="1">
      <c r="B949" s="67"/>
    </row>
    <row r="950" ht="13.5" customHeight="1">
      <c r="B950" s="67"/>
    </row>
    <row r="951" ht="13.5" customHeight="1">
      <c r="B951" s="67"/>
    </row>
    <row r="952" ht="13.5" customHeight="1">
      <c r="B952" s="67"/>
    </row>
    <row r="953" ht="13.5" customHeight="1">
      <c r="B953" s="67"/>
    </row>
    <row r="954" ht="13.5" customHeight="1">
      <c r="B954" s="67"/>
    </row>
    <row r="955" ht="13.5" customHeight="1">
      <c r="B955" s="67"/>
    </row>
    <row r="956" ht="13.5" customHeight="1">
      <c r="B956" s="67"/>
    </row>
    <row r="957" ht="13.5" customHeight="1">
      <c r="B957" s="67"/>
    </row>
    <row r="958" ht="13.5" customHeight="1">
      <c r="B958" s="67"/>
    </row>
    <row r="959" ht="13.5" customHeight="1">
      <c r="B959" s="67"/>
    </row>
    <row r="960" ht="13.5" customHeight="1">
      <c r="B960" s="67"/>
    </row>
    <row r="961" ht="13.5" customHeight="1">
      <c r="B961" s="67"/>
    </row>
    <row r="962" ht="13.5" customHeight="1">
      <c r="B962" s="67"/>
    </row>
    <row r="963" ht="13.5" customHeight="1">
      <c r="B963" s="67"/>
    </row>
    <row r="964" ht="13.5" customHeight="1">
      <c r="B964" s="67"/>
    </row>
    <row r="965" ht="13.5" customHeight="1">
      <c r="B965" s="67"/>
    </row>
    <row r="966" ht="13.5" customHeight="1">
      <c r="B966" s="67"/>
    </row>
    <row r="967" ht="13.5" customHeight="1">
      <c r="B967" s="67"/>
    </row>
    <row r="968" ht="13.5" customHeight="1">
      <c r="B968" s="67"/>
    </row>
    <row r="969" ht="13.5" customHeight="1">
      <c r="B969" s="67"/>
    </row>
    <row r="970" ht="13.5" customHeight="1">
      <c r="B970" s="67"/>
    </row>
    <row r="971" ht="13.5" customHeight="1">
      <c r="B971" s="67"/>
    </row>
    <row r="972" ht="13.5" customHeight="1">
      <c r="B972" s="67"/>
    </row>
    <row r="973" ht="13.5" customHeight="1">
      <c r="B973" s="67"/>
    </row>
    <row r="974" ht="13.5" customHeight="1">
      <c r="B974" s="67"/>
    </row>
    <row r="975" ht="13.5" customHeight="1">
      <c r="B975" s="67"/>
    </row>
    <row r="976" ht="13.5" customHeight="1">
      <c r="B976" s="67"/>
    </row>
    <row r="977" ht="13.5" customHeight="1">
      <c r="B977" s="67"/>
    </row>
    <row r="978" ht="13.5" customHeight="1">
      <c r="B978" s="67"/>
    </row>
    <row r="979" ht="13.5" customHeight="1">
      <c r="B979" s="67"/>
    </row>
    <row r="980" ht="13.5" customHeight="1">
      <c r="B980" s="67"/>
    </row>
    <row r="981" ht="13.5" customHeight="1">
      <c r="B981" s="67"/>
    </row>
    <row r="982" ht="13.5" customHeight="1">
      <c r="B982" s="67"/>
    </row>
    <row r="983" ht="13.5" customHeight="1">
      <c r="B983" s="67"/>
    </row>
    <row r="984" ht="13.5" customHeight="1">
      <c r="B984" s="67"/>
    </row>
    <row r="985" ht="13.5" customHeight="1">
      <c r="B985" s="67"/>
    </row>
    <row r="986" ht="13.5" customHeight="1">
      <c r="B986" s="67"/>
    </row>
    <row r="987" ht="13.5" customHeight="1">
      <c r="B987" s="67"/>
    </row>
    <row r="988" ht="13.5" customHeight="1">
      <c r="B988" s="67"/>
    </row>
    <row r="989" ht="13.5" customHeight="1">
      <c r="B989" s="67"/>
    </row>
    <row r="990" ht="13.5" customHeight="1">
      <c r="B990" s="67"/>
    </row>
    <row r="991" ht="13.5" customHeight="1">
      <c r="B991" s="67"/>
    </row>
    <row r="992" ht="13.5" customHeight="1">
      <c r="B992" s="67"/>
    </row>
    <row r="993" ht="13.5" customHeight="1">
      <c r="B993" s="67"/>
    </row>
    <row r="994" ht="13.5" customHeight="1">
      <c r="B994" s="67"/>
    </row>
    <row r="995" ht="13.5" customHeight="1">
      <c r="B995" s="67"/>
    </row>
    <row r="996" ht="13.5" customHeight="1">
      <c r="B996" s="67"/>
    </row>
    <row r="997" ht="13.5" customHeight="1">
      <c r="B997" s="67"/>
    </row>
    <row r="998" ht="13.5" customHeight="1">
      <c r="B998" s="67"/>
    </row>
    <row r="999" ht="13.5" customHeight="1">
      <c r="B999" s="67"/>
    </row>
    <row r="1000" ht="13.5" customHeight="1">
      <c r="B1000" s="67"/>
    </row>
    <row r="1001" ht="13.5" customHeight="1">
      <c r="B1001" s="67"/>
    </row>
  </sheetData>
  <dataValidations>
    <dataValidation type="list" allowBlank="1" showInputMessage="1" showErrorMessage="1" prompt="Escolha uma opção cadastrada." sqref="B6:B1001">
      <formula1>Alimentos!$A$6:$A$1000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0"/>
    <col customWidth="1" min="2" max="2" width="12.0"/>
    <col customWidth="1" min="3" max="3" width="16.0"/>
    <col customWidth="1" min="4" max="4" width="35.0"/>
    <col customWidth="1" min="5" max="5" width="18.0"/>
    <col customWidth="1" min="6" max="6" width="12.0"/>
    <col customWidth="1" min="7" max="7" width="13.0"/>
    <col customWidth="1" min="8" max="8" width="17.0"/>
    <col customWidth="1" min="9" max="9" width="16.0"/>
    <col customWidth="1" min="10" max="10" width="15.0"/>
    <col customWidth="1" min="11" max="11" width="17.0"/>
    <col customWidth="1" min="12" max="12" width="15.0"/>
    <col customWidth="1" min="13" max="13" width="65.0"/>
    <col customWidth="1" min="14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>
      <c r="A2" s="5" t="s">
        <v>238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1.75" customHeight="1">
      <c r="A3" s="6" t="s">
        <v>239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7.5" customHeight="1">
      <c r="A5" s="7" t="s">
        <v>243</v>
      </c>
      <c r="B5" s="7" t="s">
        <v>244</v>
      </c>
      <c r="C5" s="7" t="s">
        <v>245</v>
      </c>
      <c r="D5" s="7" t="s">
        <v>182</v>
      </c>
      <c r="E5" s="7" t="s">
        <v>246</v>
      </c>
      <c r="F5" s="7" t="s">
        <v>112</v>
      </c>
      <c r="G5" s="7" t="s">
        <v>247</v>
      </c>
      <c r="H5" s="7" t="s">
        <v>248</v>
      </c>
      <c r="I5" s="7" t="s">
        <v>249</v>
      </c>
      <c r="J5" s="7" t="s">
        <v>250</v>
      </c>
      <c r="K5" s="7" t="s">
        <v>251</v>
      </c>
      <c r="L5" s="7" t="s">
        <v>252</v>
      </c>
      <c r="M5" s="7" t="s">
        <v>141</v>
      </c>
    </row>
    <row r="6" ht="21.75" customHeight="1">
      <c r="A6" s="59" t="s">
        <v>254</v>
      </c>
      <c r="B6" s="63">
        <v>100.0</v>
      </c>
      <c r="C6" s="63" t="s">
        <v>257</v>
      </c>
      <c r="D6" s="63" t="s">
        <v>259</v>
      </c>
      <c r="E6" s="31">
        <f>B6/VLOOKUP(A6,Alimentos!$A:$L,3,FALSE)*VLOOKUP(A6,Alimentos!$A:$L,IF(C6="Proteína",5,IF(C6="Carboidrato",6,7)),FALSE)/VLOOKUP(D6,Alimentos!$A:$L,IF(C6="Proteína",5,IF(C6="Carboidrato",6,7)),FALSE)*VLOOKUP(D6,Alimentos!$A:$L,3,FALSE)</f>
        <v>236.8421053</v>
      </c>
      <c r="F6" s="31" t="str">
        <f>VLOOKUP(D6,Alimentos!$A:$L,2,FALSE)</f>
        <v>g</v>
      </c>
      <c r="G6" s="31">
        <f>B6/VLOOKUP(A6,Alimentos!$A:$L,3,FALSE)*VLOOKUP(A6,Alimentos!$A:$L,4,FALSE)</f>
        <v>163</v>
      </c>
      <c r="H6" s="31">
        <f>E6/VLOOKUP(D6,Alimentos!$A:$L,3,FALSE)*VLOOKUP(D6,Alimentos!$A:$L,4,FALSE)</f>
        <v>345.7894737</v>
      </c>
      <c r="I6" s="31">
        <f t="shared" ref="I6:I25" si="1">H6-G6</f>
        <v>182.7894737</v>
      </c>
      <c r="J6" s="31">
        <f>E6/VLOOKUP(D6,Alimentos!$A:$L,3,FALSE)*VLOOKUP(D6,Alimentos!$A:$L,5,FALSE)</f>
        <v>31.5</v>
      </c>
      <c r="K6" s="31">
        <f>E6/VLOOKUP(D6,Alimentos!$A:$L,3,FALSE)*VLOOKUP(D6,Alimentos!$A:$L,6,FALSE)</f>
        <v>1.421052632</v>
      </c>
      <c r="L6" s="31">
        <f>E6/VLOOKUP(D6,Alimentos!$A:$L,3,FALSE)*VLOOKUP(D6,Alimentos!$A:$L,7,FALSE)</f>
        <v>22.5</v>
      </c>
      <c r="M6" s="4" t="s">
        <v>270</v>
      </c>
    </row>
    <row r="7" ht="21.75" customHeight="1">
      <c r="A7" s="59" t="s">
        <v>259</v>
      </c>
      <c r="B7" s="63">
        <v>150.0</v>
      </c>
      <c r="C7" s="63" t="s">
        <v>257</v>
      </c>
      <c r="D7" s="63" t="s">
        <v>254</v>
      </c>
      <c r="E7" s="31">
        <f>B7/VLOOKUP(A7,Alimentos!$A:$L,3,FALSE)*VLOOKUP(A7,Alimentos!$A:$L,IF(C7="Proteína",5,IF(C7="Carboidrato",6,7)),FALSE)/VLOOKUP(D7,Alimentos!$A:$L,IF(C7="Proteína",5,IF(C7="Carboidrato",6,7)),FALSE)*VLOOKUP(D7,Alimentos!$A:$L,3,FALSE)</f>
        <v>63.33333333</v>
      </c>
      <c r="F7" s="31" t="str">
        <f>VLOOKUP(D7,Alimentos!$A:$L,2,FALSE)</f>
        <v>g</v>
      </c>
      <c r="G7" s="31">
        <f>B7/VLOOKUP(A7,Alimentos!$A:$L,3,FALSE)*VLOOKUP(A7,Alimentos!$A:$L,4,FALSE)</f>
        <v>219</v>
      </c>
      <c r="H7" s="31">
        <f>E7/VLOOKUP(D7,Alimentos!$A:$L,3,FALSE)*VLOOKUP(D7,Alimentos!$A:$L,4,FALSE)</f>
        <v>103.2333333</v>
      </c>
      <c r="I7" s="31">
        <f t="shared" si="1"/>
        <v>-115.7666667</v>
      </c>
      <c r="J7" s="31">
        <f>E7/VLOOKUP(D7,Alimentos!$A:$L,3,FALSE)*VLOOKUP(D7,Alimentos!$A:$L,5,FALSE)</f>
        <v>19.95</v>
      </c>
      <c r="K7" s="31">
        <f>E7/VLOOKUP(D7,Alimentos!$A:$L,3,FALSE)*VLOOKUP(D7,Alimentos!$A:$L,6,FALSE)</f>
        <v>0</v>
      </c>
      <c r="L7" s="31">
        <f>E7/VLOOKUP(D7,Alimentos!$A:$L,3,FALSE)*VLOOKUP(D7,Alimentos!$A:$L,7,FALSE)</f>
        <v>2.026666667</v>
      </c>
      <c r="M7" s="4"/>
    </row>
    <row r="8" ht="21.75" customHeight="1">
      <c r="A8" s="59" t="s">
        <v>276</v>
      </c>
      <c r="B8" s="63">
        <v>30.0</v>
      </c>
      <c r="C8" s="63" t="s">
        <v>257</v>
      </c>
      <c r="D8" s="63" t="s">
        <v>254</v>
      </c>
      <c r="E8" s="31">
        <f>B8/VLOOKUP(A8,Alimentos!$A:$L,3,FALSE)*VLOOKUP(A8,Alimentos!$A:$L,IF(C8="Proteína",5,IF(C8="Carboidrato",6,7)),FALSE)/VLOOKUP(D8,Alimentos!$A:$L,IF(C8="Proteína",5,IF(C8="Carboidrato",6,7)),FALSE)*VLOOKUP(D8,Alimentos!$A:$L,3,FALSE)</f>
        <v>73.01587302</v>
      </c>
      <c r="F8" s="31" t="str">
        <f>VLOOKUP(D8,Alimentos!$A:$L,2,FALSE)</f>
        <v>g</v>
      </c>
      <c r="G8" s="31">
        <f>B8/VLOOKUP(A8,Alimentos!$A:$L,3,FALSE)*VLOOKUP(A8,Alimentos!$A:$L,4,FALSE)</f>
        <v>120</v>
      </c>
      <c r="H8" s="31">
        <f>E8/VLOOKUP(D8,Alimentos!$A:$L,3,FALSE)*VLOOKUP(D8,Alimentos!$A:$L,4,FALSE)</f>
        <v>119.015873</v>
      </c>
      <c r="I8" s="31">
        <f t="shared" si="1"/>
        <v>-0.9841269841</v>
      </c>
      <c r="J8" s="31">
        <f>E8/VLOOKUP(D8,Alimentos!$A:$L,3,FALSE)*VLOOKUP(D8,Alimentos!$A:$L,5,FALSE)</f>
        <v>23</v>
      </c>
      <c r="K8" s="31">
        <f>E8/VLOOKUP(D8,Alimentos!$A:$L,3,FALSE)*VLOOKUP(D8,Alimentos!$A:$L,6,FALSE)</f>
        <v>0</v>
      </c>
      <c r="L8" s="31">
        <f>E8/VLOOKUP(D8,Alimentos!$A:$L,3,FALSE)*VLOOKUP(D8,Alimentos!$A:$L,7,FALSE)</f>
        <v>2.336507937</v>
      </c>
      <c r="M8" s="4"/>
    </row>
    <row r="9" ht="21.75" customHeight="1">
      <c r="A9" s="59" t="s">
        <v>276</v>
      </c>
      <c r="B9" s="63">
        <v>30.0</v>
      </c>
      <c r="C9" s="63" t="s">
        <v>257</v>
      </c>
      <c r="D9" s="63" t="s">
        <v>259</v>
      </c>
      <c r="E9" s="31">
        <f>B9/VLOOKUP(A9,Alimentos!$A:$L,3,FALSE)*VLOOKUP(A9,Alimentos!$A:$L,IF(C9="Proteína",5,IF(C9="Carboidrato",6,7)),FALSE)/VLOOKUP(D9,Alimentos!$A:$L,IF(C9="Proteína",5,IF(C9="Carboidrato",6,7)),FALSE)*VLOOKUP(D9,Alimentos!$A:$L,3,FALSE)</f>
        <v>172.9323308</v>
      </c>
      <c r="F9" s="31" t="str">
        <f>VLOOKUP(D9,Alimentos!$A:$L,2,FALSE)</f>
        <v>g</v>
      </c>
      <c r="G9" s="31">
        <f>B9/VLOOKUP(A9,Alimentos!$A:$L,3,FALSE)*VLOOKUP(A9,Alimentos!$A:$L,4,FALSE)</f>
        <v>120</v>
      </c>
      <c r="H9" s="31">
        <f>E9/VLOOKUP(D9,Alimentos!$A:$L,3,FALSE)*VLOOKUP(D9,Alimentos!$A:$L,4,FALSE)</f>
        <v>252.481203</v>
      </c>
      <c r="I9" s="31">
        <f t="shared" si="1"/>
        <v>132.481203</v>
      </c>
      <c r="J9" s="31">
        <f>E9/VLOOKUP(D9,Alimentos!$A:$L,3,FALSE)*VLOOKUP(D9,Alimentos!$A:$L,5,FALSE)</f>
        <v>23</v>
      </c>
      <c r="K9" s="31">
        <f>E9/VLOOKUP(D9,Alimentos!$A:$L,3,FALSE)*VLOOKUP(D9,Alimentos!$A:$L,6,FALSE)</f>
        <v>1.037593985</v>
      </c>
      <c r="L9" s="31">
        <f>E9/VLOOKUP(D9,Alimentos!$A:$L,3,FALSE)*VLOOKUP(D9,Alimentos!$A:$L,7,FALSE)</f>
        <v>16.42857143</v>
      </c>
      <c r="M9" s="4"/>
    </row>
    <row r="10" ht="21.75" customHeight="1">
      <c r="A10" s="59" t="s">
        <v>254</v>
      </c>
      <c r="B10" s="63">
        <v>100.0</v>
      </c>
      <c r="C10" s="63" t="s">
        <v>257</v>
      </c>
      <c r="D10" s="63" t="s">
        <v>285</v>
      </c>
      <c r="E10" s="31">
        <f>B10/VLOOKUP(A10,Alimentos!$A:$L,3,FALSE)*VLOOKUP(A10,Alimentos!$A:$L,IF(C10="Proteína",5,IF(C10="Carboidrato",6,7)),FALSE)/VLOOKUP(D10,Alimentos!$A:$L,IF(C10="Proteína",5,IF(C10="Carboidrato",6,7)),FALSE)*VLOOKUP(D10,Alimentos!$A:$L,3,FALSE)</f>
        <v>118.4210526</v>
      </c>
      <c r="F10" s="31" t="str">
        <f>VLOOKUP(D10,Alimentos!$A:$L,2,FALSE)</f>
        <v>g</v>
      </c>
      <c r="G10" s="31">
        <f>B10/VLOOKUP(A10,Alimentos!$A:$L,3,FALSE)*VLOOKUP(A10,Alimentos!$A:$L,4,FALSE)</f>
        <v>163</v>
      </c>
      <c r="H10" s="31">
        <f>E10/VLOOKUP(D10,Alimentos!$A:$L,3,FALSE)*VLOOKUP(D10,Alimentos!$A:$L,4,FALSE)</f>
        <v>144.4736842</v>
      </c>
      <c r="I10" s="31">
        <f t="shared" si="1"/>
        <v>-18.52631579</v>
      </c>
      <c r="J10" s="31">
        <f>E10/VLOOKUP(D10,Alimentos!$A:$L,3,FALSE)*VLOOKUP(D10,Alimentos!$A:$L,5,FALSE)</f>
        <v>31.5</v>
      </c>
      <c r="K10" s="31">
        <f>E10/VLOOKUP(D10,Alimentos!$A:$L,3,FALSE)*VLOOKUP(D10,Alimentos!$A:$L,6,FALSE)</f>
        <v>0</v>
      </c>
      <c r="L10" s="31">
        <f>E10/VLOOKUP(D10,Alimentos!$A:$L,3,FALSE)*VLOOKUP(D10,Alimentos!$A:$L,7,FALSE)</f>
        <v>1.065789474</v>
      </c>
      <c r="M10" s="4"/>
    </row>
    <row r="11" ht="21.75" customHeight="1">
      <c r="A11" s="59" t="s">
        <v>259</v>
      </c>
      <c r="B11" s="63">
        <v>150.0</v>
      </c>
      <c r="C11" s="63" t="s">
        <v>257</v>
      </c>
      <c r="D11" s="63" t="s">
        <v>304</v>
      </c>
      <c r="E11" s="31">
        <f>B11/VLOOKUP(A11,Alimentos!$A:$L,3,FALSE)*VLOOKUP(A11,Alimentos!$A:$L,IF(C11="Proteína",5,IF(C11="Carboidrato",6,7)),FALSE)/VLOOKUP(D11,Alimentos!$A:$L,IF(C11="Proteína",5,IF(C11="Carboidrato",6,7)),FALSE)*VLOOKUP(D11,Alimentos!$A:$L,3,FALSE)</f>
        <v>148.880597</v>
      </c>
      <c r="F11" s="31" t="str">
        <f>VLOOKUP(D11,Alimentos!$A:$L,2,FALSE)</f>
        <v>g</v>
      </c>
      <c r="G11" s="31">
        <f>B11/VLOOKUP(A11,Alimentos!$A:$L,3,FALSE)*VLOOKUP(A11,Alimentos!$A:$L,4,FALSE)</f>
        <v>219</v>
      </c>
      <c r="H11" s="31">
        <f>E11/VLOOKUP(D11,Alimentos!$A:$L,3,FALSE)*VLOOKUP(D11,Alimentos!$A:$L,4,FALSE)</f>
        <v>87.83955224</v>
      </c>
      <c r="I11" s="31">
        <f t="shared" si="1"/>
        <v>-131.1604478</v>
      </c>
      <c r="J11" s="31">
        <f>E11/VLOOKUP(D11,Alimentos!$A:$L,3,FALSE)*VLOOKUP(D11,Alimentos!$A:$L,5,FALSE)</f>
        <v>19.95</v>
      </c>
      <c r="K11" s="31">
        <f>E11/VLOOKUP(D11,Alimentos!$A:$L,3,FALSE)*VLOOKUP(D11,Alimentos!$A:$L,6,FALSE)</f>
        <v>0</v>
      </c>
      <c r="L11" s="31">
        <f>E11/VLOOKUP(D11,Alimentos!$A:$L,3,FALSE)*VLOOKUP(D11,Alimentos!$A:$L,7,FALSE)</f>
        <v>0.148880597</v>
      </c>
      <c r="M11" s="4"/>
    </row>
    <row r="12" ht="21.75" customHeight="1">
      <c r="A12" s="59" t="s">
        <v>274</v>
      </c>
      <c r="B12" s="63">
        <v>150.0</v>
      </c>
      <c r="C12" s="63" t="s">
        <v>307</v>
      </c>
      <c r="D12" s="63" t="s">
        <v>308</v>
      </c>
      <c r="E12" s="31">
        <f>B12/VLOOKUP(A12,Alimentos!$A:$L,3,FALSE)*VLOOKUP(A12,Alimentos!$A:$L,IF(C12="Proteína",5,IF(C12="Carboidrato",6,7)),FALSE)/VLOOKUP(D12,Alimentos!$A:$L,IF(C12="Proteína",5,IF(C12="Carboidrato",6,7)),FALSE)*VLOOKUP(D12,Alimentos!$A:$L,3,FALSE)</f>
        <v>354.2016807</v>
      </c>
      <c r="F12" s="31" t="str">
        <f>VLOOKUP(D12,Alimentos!$A:$L,2,FALSE)</f>
        <v>g</v>
      </c>
      <c r="G12" s="31">
        <f>B12/VLOOKUP(A12,Alimentos!$A:$L,3,FALSE)*VLOOKUP(A12,Alimentos!$A:$L,4,FALSE)</f>
        <v>192</v>
      </c>
      <c r="H12" s="31">
        <f>E12/VLOOKUP(D12,Alimentos!$A:$L,3,FALSE)*VLOOKUP(D12,Alimentos!$A:$L,4,FALSE)</f>
        <v>184.1848739</v>
      </c>
      <c r="I12" s="31">
        <f t="shared" si="1"/>
        <v>-7.81512605</v>
      </c>
      <c r="J12" s="31">
        <f>E12/VLOOKUP(D12,Alimentos!$A:$L,3,FALSE)*VLOOKUP(D12,Alimentos!$A:$L,5,FALSE)</f>
        <v>4.250420168</v>
      </c>
      <c r="K12" s="31">
        <f>E12/VLOOKUP(D12,Alimentos!$A:$L,3,FALSE)*VLOOKUP(D12,Alimentos!$A:$L,6,FALSE)</f>
        <v>42.15</v>
      </c>
      <c r="L12" s="31">
        <f>E12/VLOOKUP(D12,Alimentos!$A:$L,3,FALSE)*VLOOKUP(D12,Alimentos!$A:$L,7,FALSE)</f>
        <v>0</v>
      </c>
      <c r="M12" s="4"/>
    </row>
    <row r="13" ht="21.75" customHeight="1">
      <c r="A13" s="59" t="s">
        <v>274</v>
      </c>
      <c r="B13" s="63">
        <v>150.0</v>
      </c>
      <c r="C13" s="63" t="s">
        <v>307</v>
      </c>
      <c r="D13" s="63" t="s">
        <v>310</v>
      </c>
      <c r="E13" s="31">
        <f>B13/VLOOKUP(A13,Alimentos!$A:$L,3,FALSE)*VLOOKUP(A13,Alimentos!$A:$L,IF(C13="Proteína",5,IF(C13="Carboidrato",6,7)),FALSE)/VLOOKUP(D13,Alimentos!$A:$L,IF(C13="Proteína",5,IF(C13="Carboidrato",6,7)),FALSE)*VLOOKUP(D13,Alimentos!$A:$L,3,FALSE)</f>
        <v>229.076087</v>
      </c>
      <c r="F13" s="31" t="str">
        <f>VLOOKUP(D13,Alimentos!$A:$L,2,FALSE)</f>
        <v>g</v>
      </c>
      <c r="G13" s="31">
        <f>B13/VLOOKUP(A13,Alimentos!$A:$L,3,FALSE)*VLOOKUP(A13,Alimentos!$A:$L,4,FALSE)</f>
        <v>192</v>
      </c>
      <c r="H13" s="31">
        <f>E13/VLOOKUP(D13,Alimentos!$A:$L,3,FALSE)*VLOOKUP(D13,Alimentos!$A:$L,4,FALSE)</f>
        <v>176.388587</v>
      </c>
      <c r="I13" s="31">
        <f t="shared" si="1"/>
        <v>-15.61141304</v>
      </c>
      <c r="J13" s="31">
        <f>E13/VLOOKUP(D13,Alimentos!$A:$L,3,FALSE)*VLOOKUP(D13,Alimentos!$A:$L,5,FALSE)</f>
        <v>1.374456522</v>
      </c>
      <c r="K13" s="31">
        <f>E13/VLOOKUP(D13,Alimentos!$A:$L,3,FALSE)*VLOOKUP(D13,Alimentos!$A:$L,6,FALSE)</f>
        <v>42.15</v>
      </c>
      <c r="L13" s="31">
        <f>E13/VLOOKUP(D13,Alimentos!$A:$L,3,FALSE)*VLOOKUP(D13,Alimentos!$A:$L,7,FALSE)</f>
        <v>0.229076087</v>
      </c>
      <c r="M13" s="4"/>
    </row>
    <row r="14" ht="21.75" customHeight="1">
      <c r="A14" s="59" t="s">
        <v>261</v>
      </c>
      <c r="B14" s="63">
        <v>50.0</v>
      </c>
      <c r="C14" s="63" t="s">
        <v>307</v>
      </c>
      <c r="D14" s="63" t="s">
        <v>312</v>
      </c>
      <c r="E14" s="31">
        <f>B14/VLOOKUP(A14,Alimentos!$A:$L,3,FALSE)*VLOOKUP(A14,Alimentos!$A:$L,IF(C14="Proteína",5,IF(C14="Carboidrato",6,7)),FALSE)/VLOOKUP(D14,Alimentos!$A:$L,IF(C14="Proteína",5,IF(C14="Carboidrato",6,7)),FALSE)*VLOOKUP(D14,Alimentos!$A:$L,3,FALSE)</f>
        <v>37.46246246</v>
      </c>
      <c r="F14" s="31" t="str">
        <f>VLOOKUP(D14,Alimentos!$A:$L,2,FALSE)</f>
        <v>g</v>
      </c>
      <c r="G14" s="31">
        <f>B14/VLOOKUP(A14,Alimentos!$A:$L,3,FALSE)*VLOOKUP(A14,Alimentos!$A:$L,4,FALSE)</f>
        <v>126.5</v>
      </c>
      <c r="H14" s="31">
        <f>E14/VLOOKUP(D14,Alimentos!$A:$L,3,FALSE)*VLOOKUP(D14,Alimentos!$A:$L,4,FALSE)</f>
        <v>147.6021021</v>
      </c>
      <c r="I14" s="31">
        <f t="shared" si="1"/>
        <v>21.1021021</v>
      </c>
      <c r="J14" s="31">
        <f>E14/VLOOKUP(D14,Alimentos!$A:$L,3,FALSE)*VLOOKUP(D14,Alimentos!$A:$L,5,FALSE)</f>
        <v>5.207282282</v>
      </c>
      <c r="K14" s="31">
        <f>E14/VLOOKUP(D14,Alimentos!$A:$L,3,FALSE)*VLOOKUP(D14,Alimentos!$A:$L,6,FALSE)</f>
        <v>24.95</v>
      </c>
      <c r="L14" s="31">
        <f>E14/VLOOKUP(D14,Alimentos!$A:$L,3,FALSE)*VLOOKUP(D14,Alimentos!$A:$L,7,FALSE)</f>
        <v>3.184309309</v>
      </c>
      <c r="M14" s="4"/>
    </row>
    <row r="15" ht="21.75" customHeight="1">
      <c r="A15" s="59" t="s">
        <v>267</v>
      </c>
      <c r="B15" s="63">
        <v>100.0</v>
      </c>
      <c r="C15" s="63" t="s">
        <v>307</v>
      </c>
      <c r="D15" s="63" t="s">
        <v>287</v>
      </c>
      <c r="E15" s="31">
        <f>B15/VLOOKUP(A15,Alimentos!$A:$L,3,FALSE)*VLOOKUP(A15,Alimentos!$A:$L,IF(C15="Proteína",5,IF(C15="Carboidrato",6,7)),FALSE)/VLOOKUP(D15,Alimentos!$A:$L,IF(C15="Proteína",5,IF(C15="Carboidrato",6,7)),FALSE)*VLOOKUP(D15,Alimentos!$A:$L,3,FALSE)</f>
        <v>267.4157303</v>
      </c>
      <c r="F15" s="31" t="str">
        <f>VLOOKUP(D15,Alimentos!$A:$L,2,FALSE)</f>
        <v>g</v>
      </c>
      <c r="G15" s="31">
        <f>B15/VLOOKUP(A15,Alimentos!$A:$L,3,FALSE)*VLOOKUP(A15,Alimentos!$A:$L,4,FALSE)</f>
        <v>92</v>
      </c>
      <c r="H15" s="31">
        <f>E15/VLOOKUP(D15,Alimentos!$A:$L,3,FALSE)*VLOOKUP(D15,Alimentos!$A:$L,4,FALSE)</f>
        <v>98.94382022</v>
      </c>
      <c r="I15" s="31">
        <f t="shared" si="1"/>
        <v>6.943820225</v>
      </c>
      <c r="J15" s="31">
        <f>E15/VLOOKUP(D15,Alimentos!$A:$L,3,FALSE)*VLOOKUP(D15,Alimentos!$A:$L,5,FALSE)</f>
        <v>2.674157303</v>
      </c>
      <c r="K15" s="31">
        <f>E15/VLOOKUP(D15,Alimentos!$A:$L,3,FALSE)*VLOOKUP(D15,Alimentos!$A:$L,6,FALSE)</f>
        <v>23.8</v>
      </c>
      <c r="L15" s="31">
        <f>E15/VLOOKUP(D15,Alimentos!$A:$L,3,FALSE)*VLOOKUP(D15,Alimentos!$A:$L,7,FALSE)</f>
        <v>0.2674157303</v>
      </c>
      <c r="M15" s="4"/>
    </row>
    <row r="16" ht="21.75" customHeight="1">
      <c r="A16" s="59" t="s">
        <v>278</v>
      </c>
      <c r="B16" s="63">
        <v>100.0</v>
      </c>
      <c r="C16" s="63" t="s">
        <v>307</v>
      </c>
      <c r="D16" s="63" t="s">
        <v>316</v>
      </c>
      <c r="E16" s="31">
        <f>B16/VLOOKUP(A16,Alimentos!$A:$L,3,FALSE)*VLOOKUP(A16,Alimentos!$A:$L,IF(C16="Proteína",5,IF(C16="Carboidrato",6,7)),FALSE)/VLOOKUP(D16,Alimentos!$A:$L,IF(C16="Proteína",5,IF(C16="Carboidrato",6,7)),FALSE)*VLOOKUP(D16,Alimentos!$A:$L,3,FALSE)</f>
        <v>97.14285714</v>
      </c>
      <c r="F16" s="31" t="str">
        <f>VLOOKUP(D16,Alimentos!$A:$L,2,FALSE)</f>
        <v>g</v>
      </c>
      <c r="G16" s="31">
        <f>B16/VLOOKUP(A16,Alimentos!$A:$L,3,FALSE)*VLOOKUP(A16,Alimentos!$A:$L,4,FALSE)</f>
        <v>76</v>
      </c>
      <c r="H16" s="31">
        <f>E16/VLOOKUP(D16,Alimentos!$A:$L,3,FALSE)*VLOOKUP(D16,Alimentos!$A:$L,4,FALSE)</f>
        <v>74.8</v>
      </c>
      <c r="I16" s="31">
        <f t="shared" si="1"/>
        <v>-1.2</v>
      </c>
      <c r="J16" s="31">
        <f>E16/VLOOKUP(D16,Alimentos!$A:$L,3,FALSE)*VLOOKUP(D16,Alimentos!$A:$L,5,FALSE)</f>
        <v>4.371428571</v>
      </c>
      <c r="K16" s="31">
        <f>E16/VLOOKUP(D16,Alimentos!$A:$L,3,FALSE)*VLOOKUP(D16,Alimentos!$A:$L,6,FALSE)</f>
        <v>13.6</v>
      </c>
      <c r="L16" s="31">
        <f>E16/VLOOKUP(D16,Alimentos!$A:$L,3,FALSE)*VLOOKUP(D16,Alimentos!$A:$L,7,FALSE)</f>
        <v>0.4857142857</v>
      </c>
      <c r="M16" s="4"/>
    </row>
    <row r="17" ht="21.75" customHeight="1">
      <c r="A17" s="59" t="s">
        <v>278</v>
      </c>
      <c r="B17" s="63">
        <v>100.0</v>
      </c>
      <c r="C17" s="63" t="s">
        <v>307</v>
      </c>
      <c r="D17" s="63" t="s">
        <v>317</v>
      </c>
      <c r="E17" s="31">
        <f>B17/VLOOKUP(A17,Alimentos!$A:$L,3,FALSE)*VLOOKUP(A17,Alimentos!$A:$L,IF(C17="Proteína",5,IF(C17="Carboidrato",6,7)),FALSE)/VLOOKUP(D17,Alimentos!$A:$L,IF(C17="Proteína",5,IF(C17="Carboidrato",6,7)),FALSE)*VLOOKUP(D17,Alimentos!$A:$L,3,FALSE)</f>
        <v>83.43558282</v>
      </c>
      <c r="F17" s="31" t="str">
        <f>VLOOKUP(D17,Alimentos!$A:$L,2,FALSE)</f>
        <v>g</v>
      </c>
      <c r="G17" s="31">
        <f>B17/VLOOKUP(A17,Alimentos!$A:$L,3,FALSE)*VLOOKUP(A17,Alimentos!$A:$L,4,FALSE)</f>
        <v>76</v>
      </c>
      <c r="H17" s="31">
        <f>E17/VLOOKUP(D17,Alimentos!$A:$L,3,FALSE)*VLOOKUP(D17,Alimentos!$A:$L,4,FALSE)</f>
        <v>77.59509202</v>
      </c>
      <c r="I17" s="31">
        <f t="shared" si="1"/>
        <v>1.595092025</v>
      </c>
      <c r="J17" s="31">
        <f>E17/VLOOKUP(D17,Alimentos!$A:$L,3,FALSE)*VLOOKUP(D17,Alimentos!$A:$L,5,FALSE)</f>
        <v>5.256441718</v>
      </c>
      <c r="K17" s="31">
        <f>E17/VLOOKUP(D17,Alimentos!$A:$L,3,FALSE)*VLOOKUP(D17,Alimentos!$A:$L,6,FALSE)</f>
        <v>13.6</v>
      </c>
      <c r="L17" s="31">
        <f>E17/VLOOKUP(D17,Alimentos!$A:$L,3,FALSE)*VLOOKUP(D17,Alimentos!$A:$L,7,FALSE)</f>
        <v>0.4171779141</v>
      </c>
      <c r="M17" s="4"/>
    </row>
    <row r="18" ht="21.75" customHeight="1">
      <c r="A18" s="74" t="s">
        <v>254</v>
      </c>
      <c r="B18" s="75">
        <v>100.0</v>
      </c>
      <c r="C18" s="74" t="s">
        <v>257</v>
      </c>
      <c r="D18" s="74" t="s">
        <v>318</v>
      </c>
      <c r="E18" s="75">
        <f>B18/VLOOKUP(A18,Alimentos!$A:$L,3,FALSE)*VLOOKUP(A18,Alimentos!$A:$L,IF(C18="Proteína",5,IF(C18="Carboidrato",6,7)),FALSE)/VLOOKUP(D18,Alimentos!$A:$L,IF(C18="Proteína",5,IF(C18="Carboidrato",6,7)),FALSE)*VLOOKUP(D18,Alimentos!$A:$L,3,FALSE)</f>
        <v>87.74373259</v>
      </c>
      <c r="F18" s="74" t="str">
        <f>VLOOKUP(D18,Alimentos!$A:$L,2,FALSE)</f>
        <v>g</v>
      </c>
      <c r="G18" s="75">
        <f>B18/VLOOKUP(A18,Alimentos!$A:$L,3,FALSE)*VLOOKUP(A18,Alimentos!$A:$L,4,FALSE)</f>
        <v>163</v>
      </c>
      <c r="H18" s="75">
        <f>E18/VLOOKUP(D18,Alimentos!$A:$L,3,FALSE)*VLOOKUP(D18,Alimentos!$A:$L,4,FALSE)</f>
        <v>192.1587744</v>
      </c>
      <c r="I18" s="75">
        <f t="shared" si="1"/>
        <v>29.15877437</v>
      </c>
      <c r="J18" s="75">
        <f>E18/VLOOKUP(D18,Alimentos!$A:$L,3,FALSE)*VLOOKUP(D18,Alimentos!$A:$L,5,FALSE)</f>
        <v>31.5</v>
      </c>
      <c r="K18" s="75">
        <f>E18/VLOOKUP(D18,Alimentos!$A:$L,3,FALSE)*VLOOKUP(D18,Alimentos!$A:$L,6,FALSE)</f>
        <v>0</v>
      </c>
      <c r="L18" s="75">
        <f>E18/VLOOKUP(D18,Alimentos!$A:$L,3,FALSE)*VLOOKUP(D18,Alimentos!$A:$L,7,FALSE)</f>
        <v>6.405292479</v>
      </c>
      <c r="M18" s="74" t="s">
        <v>319</v>
      </c>
    </row>
    <row r="19" ht="21.75" customHeight="1">
      <c r="A19" s="74" t="s">
        <v>254</v>
      </c>
      <c r="B19" s="75">
        <v>100.0</v>
      </c>
      <c r="C19" s="74" t="s">
        <v>257</v>
      </c>
      <c r="D19" s="74" t="s">
        <v>320</v>
      </c>
      <c r="E19" s="75">
        <f>B19/VLOOKUP(A19,Alimentos!$A:$L,3,FALSE)*VLOOKUP(A19,Alimentos!$A:$L,IF(C19="Proteína",5,IF(C19="Carboidrato",6,7)),FALSE)/VLOOKUP(D19,Alimentos!$A:$L,IF(C19="Proteína",5,IF(C19="Carboidrato",6,7)),FALSE)*VLOOKUP(D19,Alimentos!$A:$L,3,FALSE)</f>
        <v>121.1538462</v>
      </c>
      <c r="F19" s="74" t="str">
        <f>VLOOKUP(D19,Alimentos!$A:$L,2,FALSE)</f>
        <v>g</v>
      </c>
      <c r="G19" s="75">
        <f>B19/VLOOKUP(A19,Alimentos!$A:$L,3,FALSE)*VLOOKUP(A19,Alimentos!$A:$L,4,FALSE)</f>
        <v>163</v>
      </c>
      <c r="H19" s="75">
        <f>E19/VLOOKUP(D19,Alimentos!$A:$L,3,FALSE)*VLOOKUP(D19,Alimentos!$A:$L,4,FALSE)</f>
        <v>155.0769231</v>
      </c>
      <c r="I19" s="75">
        <f t="shared" si="1"/>
        <v>-7.923076923</v>
      </c>
      <c r="J19" s="75">
        <f>E19/VLOOKUP(D19,Alimentos!$A:$L,3,FALSE)*VLOOKUP(D19,Alimentos!$A:$L,5,FALSE)</f>
        <v>31.5</v>
      </c>
      <c r="K19" s="75">
        <f>E19/VLOOKUP(D19,Alimentos!$A:$L,3,FALSE)*VLOOKUP(D19,Alimentos!$A:$L,6,FALSE)</f>
        <v>0</v>
      </c>
      <c r="L19" s="75">
        <f>E19/VLOOKUP(D19,Alimentos!$A:$L,3,FALSE)*VLOOKUP(D19,Alimentos!$A:$L,7,FALSE)</f>
        <v>2.423076923</v>
      </c>
      <c r="M19" s="74" t="s">
        <v>321</v>
      </c>
    </row>
    <row r="20" ht="21.75" customHeight="1">
      <c r="A20" s="74" t="s">
        <v>254</v>
      </c>
      <c r="B20" s="75">
        <v>100.0</v>
      </c>
      <c r="C20" s="74" t="s">
        <v>257</v>
      </c>
      <c r="D20" s="74" t="s">
        <v>322</v>
      </c>
      <c r="E20" s="75">
        <f>B20/VLOOKUP(A20,Alimentos!$A:$L,3,FALSE)*VLOOKUP(A20,Alimentos!$A:$L,IF(C20="Proteína",5,IF(C20="Carboidrato",6,7)),FALSE)/VLOOKUP(D20,Alimentos!$A:$L,IF(C20="Proteína",5,IF(C20="Carboidrato",6,7)),FALSE)*VLOOKUP(D20,Alimentos!$A:$L,3,FALSE)</f>
        <v>123.5294118</v>
      </c>
      <c r="F20" s="74" t="str">
        <f>VLOOKUP(D20,Alimentos!$A:$L,2,FALSE)</f>
        <v>g</v>
      </c>
      <c r="G20" s="75">
        <f>B20/VLOOKUP(A20,Alimentos!$A:$L,3,FALSE)*VLOOKUP(A20,Alimentos!$A:$L,4,FALSE)</f>
        <v>163</v>
      </c>
      <c r="H20" s="75">
        <f>E20/VLOOKUP(D20,Alimentos!$A:$L,3,FALSE)*VLOOKUP(D20,Alimentos!$A:$L,4,FALSE)</f>
        <v>143.2941176</v>
      </c>
      <c r="I20" s="75">
        <f t="shared" si="1"/>
        <v>-19.70588235</v>
      </c>
      <c r="J20" s="75">
        <f>E20/VLOOKUP(D20,Alimentos!$A:$L,3,FALSE)*VLOOKUP(D20,Alimentos!$A:$L,5,FALSE)</f>
        <v>31.5</v>
      </c>
      <c r="K20" s="75">
        <f>E20/VLOOKUP(D20,Alimentos!$A:$L,3,FALSE)*VLOOKUP(D20,Alimentos!$A:$L,6,FALSE)</f>
        <v>0</v>
      </c>
      <c r="L20" s="75">
        <f>E20/VLOOKUP(D20,Alimentos!$A:$L,3,FALSE)*VLOOKUP(D20,Alimentos!$A:$L,7,FALSE)</f>
        <v>0.9882352941</v>
      </c>
      <c r="M20" s="74" t="s">
        <v>323</v>
      </c>
    </row>
    <row r="21" ht="21.75" customHeight="1">
      <c r="A21" s="74" t="s">
        <v>274</v>
      </c>
      <c r="B21" s="75">
        <v>150.0</v>
      </c>
      <c r="C21" s="74" t="s">
        <v>307</v>
      </c>
      <c r="D21" s="74" t="s">
        <v>324</v>
      </c>
      <c r="E21" s="75">
        <f>B21/VLOOKUP(A21,Alimentos!$A:$L,3,FALSE)*VLOOKUP(A21,Alimentos!$A:$L,IF(C21="Proteína",5,IF(C21="Carboidrato",6,7)),FALSE)/VLOOKUP(D21,Alimentos!$A:$L,IF(C21="Proteína",5,IF(C21="Carboidrato",6,7)),FALSE)*VLOOKUP(D21,Alimentos!$A:$L,3,FALSE)</f>
        <v>140.0332226</v>
      </c>
      <c r="F21" s="74" t="str">
        <f>VLOOKUP(D21,Alimentos!$A:$L,2,FALSE)</f>
        <v>g</v>
      </c>
      <c r="G21" s="75">
        <f>B21/VLOOKUP(A21,Alimentos!$A:$L,3,FALSE)*VLOOKUP(A21,Alimentos!$A:$L,4,FALSE)</f>
        <v>192</v>
      </c>
      <c r="H21" s="75">
        <f>E21/VLOOKUP(D21,Alimentos!$A:$L,3,FALSE)*VLOOKUP(D21,Alimentos!$A:$L,4,FALSE)</f>
        <v>175.0415282</v>
      </c>
      <c r="I21" s="75">
        <f t="shared" si="1"/>
        <v>-16.95847176</v>
      </c>
      <c r="J21" s="75">
        <f>E21/VLOOKUP(D21,Alimentos!$A:$L,3,FALSE)*VLOOKUP(D21,Alimentos!$A:$L,5,FALSE)</f>
        <v>0.8401993355</v>
      </c>
      <c r="K21" s="75">
        <f>E21/VLOOKUP(D21,Alimentos!$A:$L,3,FALSE)*VLOOKUP(D21,Alimentos!$A:$L,6,FALSE)</f>
        <v>42.15</v>
      </c>
      <c r="L21" s="75">
        <f>E21/VLOOKUP(D21,Alimentos!$A:$L,3,FALSE)*VLOOKUP(D21,Alimentos!$A:$L,7,FALSE)</f>
        <v>0.4200996678</v>
      </c>
      <c r="M21" s="74" t="s">
        <v>325</v>
      </c>
    </row>
    <row r="22" ht="21.75" customHeight="1">
      <c r="A22" s="74" t="s">
        <v>274</v>
      </c>
      <c r="B22" s="75">
        <v>150.0</v>
      </c>
      <c r="C22" s="74" t="s">
        <v>307</v>
      </c>
      <c r="D22" s="74" t="s">
        <v>326</v>
      </c>
      <c r="E22" s="75">
        <f>B22/VLOOKUP(A22,Alimentos!$A:$L,3,FALSE)*VLOOKUP(A22,Alimentos!$A:$L,IF(C22="Proteína",5,IF(C22="Carboidrato",6,7)),FALSE)/VLOOKUP(D22,Alimentos!$A:$L,IF(C22="Proteína",5,IF(C22="Carboidrato",6,7)),FALSE)*VLOOKUP(D22,Alimentos!$A:$L,3,FALSE)</f>
        <v>200.7142857</v>
      </c>
      <c r="F22" s="74" t="str">
        <f>VLOOKUP(D22,Alimentos!$A:$L,2,FALSE)</f>
        <v>g</v>
      </c>
      <c r="G22" s="75">
        <f>B22/VLOOKUP(A22,Alimentos!$A:$L,3,FALSE)*VLOOKUP(A22,Alimentos!$A:$L,4,FALSE)</f>
        <v>192</v>
      </c>
      <c r="H22" s="75">
        <f>E22/VLOOKUP(D22,Alimentos!$A:$L,3,FALSE)*VLOOKUP(D22,Alimentos!$A:$L,4,FALSE)</f>
        <v>204.7285714</v>
      </c>
      <c r="I22" s="75">
        <f t="shared" si="1"/>
        <v>12.72857143</v>
      </c>
      <c r="J22" s="75">
        <f>E22/VLOOKUP(D22,Alimentos!$A:$L,3,FALSE)*VLOOKUP(D22,Alimentos!$A:$L,5,FALSE)</f>
        <v>6.824285714</v>
      </c>
      <c r="K22" s="75">
        <f>E22/VLOOKUP(D22,Alimentos!$A:$L,3,FALSE)*VLOOKUP(D22,Alimentos!$A:$L,6,FALSE)</f>
        <v>42.15</v>
      </c>
      <c r="L22" s="75">
        <f>E22/VLOOKUP(D22,Alimentos!$A:$L,3,FALSE)*VLOOKUP(D22,Alimentos!$A:$L,7,FALSE)</f>
        <v>0.8028571429</v>
      </c>
      <c r="M22" s="74" t="s">
        <v>327</v>
      </c>
    </row>
    <row r="23" ht="21.75" customHeight="1">
      <c r="A23" s="74" t="s">
        <v>274</v>
      </c>
      <c r="B23" s="75">
        <v>150.0</v>
      </c>
      <c r="C23" s="74" t="s">
        <v>307</v>
      </c>
      <c r="D23" s="74" t="s">
        <v>328</v>
      </c>
      <c r="E23" s="75">
        <f>B23/VLOOKUP(A23,Alimentos!$A:$L,3,FALSE)*VLOOKUP(A23,Alimentos!$A:$L,IF(C23="Proteína",5,IF(C23="Carboidrato",6,7)),FALSE)/VLOOKUP(D23,Alimentos!$A:$L,IF(C23="Proteína",5,IF(C23="Carboidrato",6,7)),FALSE)*VLOOKUP(D23,Alimentos!$A:$L,3,FALSE)</f>
        <v>166.6007905</v>
      </c>
      <c r="F23" s="74" t="str">
        <f>VLOOKUP(D23,Alimentos!$A:$L,2,FALSE)</f>
        <v>g</v>
      </c>
      <c r="G23" s="75">
        <f>B23/VLOOKUP(A23,Alimentos!$A:$L,3,FALSE)*VLOOKUP(A23,Alimentos!$A:$L,4,FALSE)</f>
        <v>192</v>
      </c>
      <c r="H23" s="75">
        <f>E23/VLOOKUP(D23,Alimentos!$A:$L,3,FALSE)*VLOOKUP(D23,Alimentos!$A:$L,4,FALSE)</f>
        <v>188.2588933</v>
      </c>
      <c r="I23" s="75">
        <f t="shared" si="1"/>
        <v>-3.741106719</v>
      </c>
      <c r="J23" s="75">
        <f>E23/VLOOKUP(D23,Alimentos!$A:$L,3,FALSE)*VLOOKUP(D23,Alimentos!$A:$L,5,FALSE)</f>
        <v>3.665217391</v>
      </c>
      <c r="K23" s="75">
        <f>E23/VLOOKUP(D23,Alimentos!$A:$L,3,FALSE)*VLOOKUP(D23,Alimentos!$A:$L,6,FALSE)</f>
        <v>42.15</v>
      </c>
      <c r="L23" s="75">
        <f>E23/VLOOKUP(D23,Alimentos!$A:$L,3,FALSE)*VLOOKUP(D23,Alimentos!$A:$L,7,FALSE)</f>
        <v>1.166205534</v>
      </c>
      <c r="M23" s="74" t="s">
        <v>329</v>
      </c>
    </row>
    <row r="24" ht="21.75" customHeight="1">
      <c r="A24" s="74" t="s">
        <v>284</v>
      </c>
      <c r="B24" s="75">
        <v>10.0</v>
      </c>
      <c r="C24" s="74" t="s">
        <v>330</v>
      </c>
      <c r="D24" s="74" t="s">
        <v>331</v>
      </c>
      <c r="E24" s="75">
        <f>B24/VLOOKUP(A24,Alimentos!$A:$L,3,FALSE)*VLOOKUP(A24,Alimentos!$A:$L,IF(C24="Proteína",5,IF(C24="Carboidrato",6,7)),FALSE)/VLOOKUP(D24,Alimentos!$A:$L,IF(C24="Proteína",5,IF(C24="Carboidrato",6,7)),FALSE)*VLOOKUP(D24,Alimentos!$A:$L,3,FALSE)</f>
        <v>20</v>
      </c>
      <c r="F24" s="74" t="str">
        <f>VLOOKUP(D24,Alimentos!$A:$L,2,FALSE)</f>
        <v>g</v>
      </c>
      <c r="G24" s="75">
        <f>B24/VLOOKUP(A24,Alimentos!$A:$L,3,FALSE)*VLOOKUP(A24,Alimentos!$A:$L,4,FALSE)</f>
        <v>88.4</v>
      </c>
      <c r="H24" s="75">
        <f>E24/VLOOKUP(D24,Alimentos!$A:$L,3,FALSE)*VLOOKUP(D24,Alimentos!$A:$L,4,FALSE)</f>
        <v>117.6</v>
      </c>
      <c r="I24" s="75">
        <f t="shared" si="1"/>
        <v>29.2</v>
      </c>
      <c r="J24" s="75">
        <f>E24/VLOOKUP(D24,Alimentos!$A:$L,3,FALSE)*VLOOKUP(D24,Alimentos!$A:$L,5,FALSE)</f>
        <v>5</v>
      </c>
      <c r="K24" s="75">
        <f>E24/VLOOKUP(D24,Alimentos!$A:$L,3,FALSE)*VLOOKUP(D24,Alimentos!$A:$L,6,FALSE)</f>
        <v>4</v>
      </c>
      <c r="L24" s="75">
        <f>E24/VLOOKUP(D24,Alimentos!$A:$L,3,FALSE)*VLOOKUP(D24,Alimentos!$A:$L,7,FALSE)</f>
        <v>10</v>
      </c>
      <c r="M24" s="74" t="s">
        <v>332</v>
      </c>
    </row>
    <row r="25" ht="21.75" customHeight="1">
      <c r="A25" s="74" t="s">
        <v>284</v>
      </c>
      <c r="B25" s="75">
        <v>10.0</v>
      </c>
      <c r="C25" s="74" t="s">
        <v>330</v>
      </c>
      <c r="D25" s="74" t="s">
        <v>333</v>
      </c>
      <c r="E25" s="75">
        <f>B25/VLOOKUP(A25,Alimentos!$A:$L,3,FALSE)*VLOOKUP(A25,Alimentos!$A:$L,IF(C25="Proteína",5,IF(C25="Carboidrato",6,7)),FALSE)/VLOOKUP(D25,Alimentos!$A:$L,IF(C25="Proteína",5,IF(C25="Carboidrato",6,7)),FALSE)*VLOOKUP(D25,Alimentos!$A:$L,3,FALSE)</f>
        <v>15.7480315</v>
      </c>
      <c r="F25" s="74" t="str">
        <f>VLOOKUP(D25,Alimentos!$A:$L,2,FALSE)</f>
        <v>g</v>
      </c>
      <c r="G25" s="75">
        <f>B25/VLOOKUP(A25,Alimentos!$A:$L,3,FALSE)*VLOOKUP(A25,Alimentos!$A:$L,4,FALSE)</f>
        <v>88.4</v>
      </c>
      <c r="H25" s="75">
        <f>E25/VLOOKUP(D25,Alimentos!$A:$L,3,FALSE)*VLOOKUP(D25,Alimentos!$A:$L,4,FALSE)</f>
        <v>101.2598425</v>
      </c>
      <c r="I25" s="75">
        <f t="shared" si="1"/>
        <v>12.85984252</v>
      </c>
      <c r="J25" s="75">
        <f>E25/VLOOKUP(D25,Alimentos!$A:$L,3,FALSE)*VLOOKUP(D25,Alimentos!$A:$L,5,FALSE)</f>
        <v>2.283464567</v>
      </c>
      <c r="K25" s="75">
        <f>E25/VLOOKUP(D25,Alimentos!$A:$L,3,FALSE)*VLOOKUP(D25,Alimentos!$A:$L,6,FALSE)</f>
        <v>2.377952756</v>
      </c>
      <c r="L25" s="75">
        <f>E25/VLOOKUP(D25,Alimentos!$A:$L,3,FALSE)*VLOOKUP(D25,Alimentos!$A:$L,7,FALSE)</f>
        <v>10</v>
      </c>
      <c r="M25" s="74" t="s">
        <v>334</v>
      </c>
    </row>
    <row r="26" ht="21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21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21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21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21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21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3.5" customHeight="1">
      <c r="A36" s="67"/>
      <c r="D36" s="67"/>
    </row>
    <row r="37" ht="13.5" customHeight="1">
      <c r="A37" s="67"/>
      <c r="D37" s="67"/>
    </row>
    <row r="38" ht="13.5" customHeight="1">
      <c r="A38" s="67"/>
      <c r="D38" s="67"/>
    </row>
    <row r="39" ht="13.5" customHeight="1">
      <c r="A39" s="67"/>
      <c r="D39" s="67"/>
    </row>
    <row r="40" ht="13.5" customHeight="1">
      <c r="A40" s="67"/>
      <c r="D40" s="67"/>
    </row>
    <row r="41" ht="13.5" customHeight="1">
      <c r="A41" s="67"/>
      <c r="D41" s="67"/>
    </row>
    <row r="42" ht="13.5" customHeight="1">
      <c r="A42" s="67"/>
      <c r="D42" s="67"/>
    </row>
    <row r="43" ht="13.5" customHeight="1">
      <c r="A43" s="67"/>
      <c r="D43" s="67"/>
    </row>
    <row r="44" ht="13.5" customHeight="1">
      <c r="A44" s="67"/>
      <c r="D44" s="67"/>
    </row>
    <row r="45" ht="13.5" customHeight="1">
      <c r="A45" s="67"/>
      <c r="D45" s="67"/>
    </row>
    <row r="46" ht="13.5" customHeight="1">
      <c r="A46" s="67"/>
      <c r="D46" s="67"/>
    </row>
    <row r="47" ht="13.5" customHeight="1">
      <c r="A47" s="67"/>
      <c r="D47" s="67"/>
    </row>
    <row r="48" ht="13.5" customHeight="1">
      <c r="A48" s="67"/>
      <c r="D48" s="67"/>
    </row>
    <row r="49" ht="13.5" customHeight="1">
      <c r="A49" s="67"/>
      <c r="D49" s="67"/>
    </row>
    <row r="50" ht="13.5" customHeight="1">
      <c r="A50" s="67"/>
      <c r="D50" s="67"/>
    </row>
    <row r="51" ht="13.5" customHeight="1">
      <c r="A51" s="67"/>
      <c r="D51" s="67"/>
    </row>
    <row r="52" ht="13.5" customHeight="1">
      <c r="A52" s="67"/>
      <c r="D52" s="67"/>
    </row>
    <row r="53" ht="13.5" customHeight="1">
      <c r="A53" s="67"/>
      <c r="D53" s="67"/>
    </row>
    <row r="54" ht="13.5" customHeight="1">
      <c r="A54" s="67"/>
      <c r="D54" s="67"/>
    </row>
    <row r="55" ht="13.5" customHeight="1">
      <c r="A55" s="67"/>
      <c r="D55" s="67"/>
    </row>
    <row r="56" ht="13.5" customHeight="1">
      <c r="A56" s="67"/>
      <c r="D56" s="67"/>
    </row>
    <row r="57" ht="13.5" customHeight="1">
      <c r="A57" s="67"/>
      <c r="D57" s="67"/>
    </row>
    <row r="58" ht="13.5" customHeight="1">
      <c r="A58" s="67"/>
      <c r="D58" s="67"/>
    </row>
    <row r="59" ht="13.5" customHeight="1">
      <c r="A59" s="67"/>
      <c r="D59" s="67"/>
    </row>
    <row r="60" ht="13.5" customHeight="1">
      <c r="A60" s="67"/>
      <c r="D60" s="67"/>
    </row>
    <row r="61" ht="13.5" customHeight="1">
      <c r="A61" s="67"/>
      <c r="D61" s="67"/>
    </row>
    <row r="62" ht="13.5" customHeight="1">
      <c r="A62" s="67"/>
      <c r="D62" s="67"/>
    </row>
    <row r="63" ht="13.5" customHeight="1">
      <c r="A63" s="67"/>
      <c r="D63" s="67"/>
    </row>
    <row r="64" ht="13.5" customHeight="1">
      <c r="A64" s="67"/>
      <c r="D64" s="67"/>
    </row>
    <row r="65" ht="13.5" customHeight="1">
      <c r="A65" s="67"/>
      <c r="D65" s="67"/>
    </row>
    <row r="66" ht="13.5" customHeight="1">
      <c r="A66" s="67"/>
      <c r="D66" s="67"/>
    </row>
    <row r="67" ht="13.5" customHeight="1">
      <c r="A67" s="67"/>
      <c r="D67" s="67"/>
    </row>
    <row r="68" ht="13.5" customHeight="1">
      <c r="A68" s="67"/>
      <c r="D68" s="67"/>
    </row>
    <row r="69" ht="13.5" customHeight="1">
      <c r="A69" s="67"/>
      <c r="D69" s="67"/>
    </row>
    <row r="70" ht="13.5" customHeight="1">
      <c r="A70" s="67"/>
      <c r="D70" s="67"/>
    </row>
    <row r="71" ht="13.5" customHeight="1">
      <c r="A71" s="67"/>
      <c r="D71" s="67"/>
    </row>
    <row r="72" ht="13.5" customHeight="1">
      <c r="A72" s="67"/>
      <c r="D72" s="67"/>
    </row>
    <row r="73" ht="13.5" customHeight="1">
      <c r="A73" s="67"/>
      <c r="D73" s="67"/>
    </row>
    <row r="74" ht="13.5" customHeight="1">
      <c r="A74" s="67"/>
      <c r="D74" s="67"/>
    </row>
    <row r="75" ht="13.5" customHeight="1">
      <c r="A75" s="67"/>
      <c r="D75" s="67"/>
    </row>
    <row r="76" ht="13.5" customHeight="1">
      <c r="A76" s="67"/>
      <c r="D76" s="67"/>
    </row>
    <row r="77" ht="13.5" customHeight="1">
      <c r="A77" s="67"/>
      <c r="D77" s="67"/>
    </row>
    <row r="78" ht="13.5" customHeight="1">
      <c r="A78" s="67"/>
      <c r="D78" s="67"/>
    </row>
    <row r="79" ht="13.5" customHeight="1">
      <c r="A79" s="67"/>
      <c r="D79" s="67"/>
    </row>
    <row r="80" ht="13.5" customHeight="1">
      <c r="A80" s="67"/>
      <c r="D80" s="67"/>
    </row>
    <row r="81" ht="13.5" customHeight="1">
      <c r="A81" s="67"/>
      <c r="D81" s="67"/>
    </row>
    <row r="82" ht="13.5" customHeight="1">
      <c r="A82" s="67"/>
      <c r="D82" s="67"/>
    </row>
    <row r="83" ht="13.5" customHeight="1">
      <c r="A83" s="67"/>
      <c r="D83" s="67"/>
    </row>
    <row r="84" ht="13.5" customHeight="1">
      <c r="A84" s="67"/>
      <c r="D84" s="67"/>
    </row>
    <row r="85" ht="13.5" customHeight="1">
      <c r="A85" s="67"/>
      <c r="D85" s="67"/>
    </row>
    <row r="86" ht="13.5" customHeight="1">
      <c r="A86" s="67"/>
      <c r="D86" s="67"/>
    </row>
    <row r="87" ht="13.5" customHeight="1">
      <c r="A87" s="67"/>
      <c r="D87" s="67"/>
    </row>
    <row r="88" ht="13.5" customHeight="1">
      <c r="A88" s="67"/>
      <c r="D88" s="67"/>
    </row>
    <row r="89" ht="13.5" customHeight="1">
      <c r="A89" s="67"/>
      <c r="D89" s="67"/>
    </row>
    <row r="90" ht="13.5" customHeight="1">
      <c r="A90" s="67"/>
      <c r="D90" s="67"/>
    </row>
    <row r="91" ht="13.5" customHeight="1">
      <c r="A91" s="67"/>
      <c r="D91" s="67"/>
    </row>
    <row r="92" ht="13.5" customHeight="1">
      <c r="A92" s="67"/>
      <c r="D92" s="67"/>
    </row>
    <row r="93" ht="13.5" customHeight="1">
      <c r="A93" s="67"/>
      <c r="D93" s="67"/>
    </row>
    <row r="94" ht="13.5" customHeight="1">
      <c r="A94" s="67"/>
      <c r="D94" s="67"/>
    </row>
    <row r="95" ht="13.5" customHeight="1">
      <c r="A95" s="67"/>
      <c r="D95" s="67"/>
    </row>
    <row r="96" ht="13.5" customHeight="1">
      <c r="A96" s="67"/>
      <c r="D96" s="67"/>
    </row>
    <row r="97" ht="13.5" customHeight="1">
      <c r="A97" s="67"/>
      <c r="D97" s="67"/>
    </row>
    <row r="98" ht="13.5" customHeight="1">
      <c r="A98" s="67"/>
      <c r="D98" s="67"/>
    </row>
    <row r="99" ht="13.5" customHeight="1">
      <c r="A99" s="67"/>
      <c r="D99" s="67"/>
    </row>
    <row r="100" ht="13.5" customHeight="1">
      <c r="A100" s="67"/>
      <c r="D100" s="67"/>
    </row>
    <row r="101" ht="13.5" customHeight="1">
      <c r="A101" s="67"/>
      <c r="D101" s="67"/>
    </row>
    <row r="102" ht="13.5" customHeight="1">
      <c r="A102" s="67"/>
      <c r="D102" s="67"/>
    </row>
    <row r="103" ht="13.5" customHeight="1">
      <c r="A103" s="67"/>
      <c r="D103" s="67"/>
    </row>
    <row r="104" ht="13.5" customHeight="1">
      <c r="A104" s="67"/>
      <c r="D104" s="67"/>
    </row>
    <row r="105" ht="13.5" customHeight="1">
      <c r="A105" s="67"/>
      <c r="D105" s="67"/>
    </row>
    <row r="106" ht="13.5" customHeight="1">
      <c r="A106" s="67"/>
      <c r="D106" s="67"/>
    </row>
    <row r="107" ht="13.5" customHeight="1">
      <c r="A107" s="67"/>
      <c r="D107" s="67"/>
    </row>
    <row r="108" ht="13.5" customHeight="1">
      <c r="A108" s="67"/>
      <c r="D108" s="67"/>
    </row>
    <row r="109" ht="13.5" customHeight="1">
      <c r="A109" s="67"/>
      <c r="D109" s="67"/>
    </row>
    <row r="110" ht="13.5" customHeight="1">
      <c r="A110" s="67"/>
      <c r="D110" s="67"/>
    </row>
    <row r="111" ht="13.5" customHeight="1">
      <c r="A111" s="67"/>
      <c r="D111" s="67"/>
    </row>
    <row r="112" ht="13.5" customHeight="1">
      <c r="A112" s="67"/>
      <c r="D112" s="67"/>
    </row>
    <row r="113" ht="13.5" customHeight="1">
      <c r="A113" s="67"/>
      <c r="D113" s="67"/>
    </row>
    <row r="114" ht="13.5" customHeight="1">
      <c r="A114" s="67"/>
      <c r="D114" s="67"/>
    </row>
    <row r="115" ht="13.5" customHeight="1">
      <c r="A115" s="67"/>
      <c r="D115" s="67"/>
    </row>
    <row r="116" ht="13.5" customHeight="1">
      <c r="A116" s="67"/>
      <c r="D116" s="67"/>
    </row>
    <row r="117" ht="13.5" customHeight="1">
      <c r="A117" s="67"/>
      <c r="D117" s="67"/>
    </row>
    <row r="118" ht="13.5" customHeight="1">
      <c r="A118" s="67"/>
      <c r="D118" s="67"/>
    </row>
    <row r="119" ht="13.5" customHeight="1">
      <c r="A119" s="67"/>
      <c r="D119" s="67"/>
    </row>
    <row r="120" ht="13.5" customHeight="1">
      <c r="A120" s="67"/>
      <c r="D120" s="67"/>
    </row>
    <row r="121" ht="13.5" customHeight="1">
      <c r="A121" s="67"/>
      <c r="D121" s="67"/>
    </row>
    <row r="122" ht="13.5" customHeight="1">
      <c r="A122" s="67"/>
      <c r="D122" s="67"/>
    </row>
    <row r="123" ht="13.5" customHeight="1">
      <c r="A123" s="67"/>
      <c r="D123" s="67"/>
    </row>
    <row r="124" ht="13.5" customHeight="1">
      <c r="A124" s="67"/>
      <c r="D124" s="67"/>
    </row>
    <row r="125" ht="13.5" customHeight="1">
      <c r="A125" s="67"/>
      <c r="D125" s="67"/>
    </row>
    <row r="126" ht="13.5" customHeight="1">
      <c r="A126" s="67"/>
      <c r="D126" s="67"/>
    </row>
    <row r="127" ht="13.5" customHeight="1">
      <c r="A127" s="67"/>
      <c r="D127" s="67"/>
    </row>
    <row r="128" ht="13.5" customHeight="1">
      <c r="A128" s="67"/>
      <c r="D128" s="67"/>
    </row>
    <row r="129" ht="13.5" customHeight="1">
      <c r="A129" s="67"/>
      <c r="D129" s="67"/>
    </row>
    <row r="130" ht="13.5" customHeight="1">
      <c r="A130" s="67"/>
      <c r="D130" s="67"/>
    </row>
    <row r="131" ht="13.5" customHeight="1">
      <c r="A131" s="67"/>
      <c r="D131" s="67"/>
    </row>
    <row r="132" ht="13.5" customHeight="1">
      <c r="A132" s="67"/>
      <c r="D132" s="67"/>
    </row>
    <row r="133" ht="13.5" customHeight="1">
      <c r="A133" s="67"/>
      <c r="D133" s="67"/>
    </row>
    <row r="134" ht="13.5" customHeight="1">
      <c r="A134" s="67"/>
      <c r="D134" s="67"/>
    </row>
    <row r="135" ht="13.5" customHeight="1">
      <c r="A135" s="67"/>
      <c r="D135" s="67"/>
    </row>
    <row r="136" ht="13.5" customHeight="1">
      <c r="A136" s="67"/>
      <c r="D136" s="67"/>
    </row>
    <row r="137" ht="13.5" customHeight="1">
      <c r="A137" s="67"/>
      <c r="D137" s="67"/>
    </row>
    <row r="138" ht="13.5" customHeight="1">
      <c r="A138" s="67"/>
      <c r="D138" s="67"/>
    </row>
    <row r="139" ht="13.5" customHeight="1">
      <c r="A139" s="67"/>
      <c r="D139" s="67"/>
    </row>
    <row r="140" ht="13.5" customHeight="1">
      <c r="A140" s="67"/>
      <c r="D140" s="67"/>
    </row>
    <row r="141" ht="13.5" customHeight="1">
      <c r="A141" s="67"/>
      <c r="D141" s="67"/>
    </row>
    <row r="142" ht="13.5" customHeight="1">
      <c r="A142" s="67"/>
      <c r="D142" s="67"/>
    </row>
    <row r="143" ht="13.5" customHeight="1">
      <c r="A143" s="67"/>
      <c r="D143" s="67"/>
    </row>
    <row r="144" ht="13.5" customHeight="1">
      <c r="A144" s="67"/>
      <c r="D144" s="67"/>
    </row>
    <row r="145" ht="13.5" customHeight="1">
      <c r="A145" s="67"/>
      <c r="D145" s="67"/>
    </row>
    <row r="146" ht="13.5" customHeight="1">
      <c r="A146" s="67"/>
      <c r="D146" s="67"/>
    </row>
    <row r="147" ht="13.5" customHeight="1">
      <c r="A147" s="67"/>
      <c r="D147" s="67"/>
    </row>
    <row r="148" ht="13.5" customHeight="1">
      <c r="A148" s="67"/>
      <c r="D148" s="67"/>
    </row>
    <row r="149" ht="13.5" customHeight="1">
      <c r="A149" s="67"/>
      <c r="D149" s="67"/>
    </row>
    <row r="150" ht="13.5" customHeight="1">
      <c r="A150" s="67"/>
      <c r="D150" s="67"/>
    </row>
    <row r="151" ht="13.5" customHeight="1">
      <c r="A151" s="67"/>
      <c r="D151" s="67"/>
    </row>
    <row r="152" ht="13.5" customHeight="1">
      <c r="A152" s="67"/>
      <c r="D152" s="67"/>
    </row>
    <row r="153" ht="13.5" customHeight="1">
      <c r="A153" s="67"/>
      <c r="D153" s="67"/>
    </row>
    <row r="154" ht="13.5" customHeight="1">
      <c r="A154" s="67"/>
      <c r="D154" s="67"/>
    </row>
    <row r="155" ht="13.5" customHeight="1">
      <c r="A155" s="67"/>
      <c r="D155" s="67"/>
    </row>
    <row r="156" ht="13.5" customHeight="1">
      <c r="A156" s="67"/>
      <c r="D156" s="67"/>
    </row>
    <row r="157" ht="13.5" customHeight="1">
      <c r="A157" s="67"/>
      <c r="D157" s="67"/>
    </row>
    <row r="158" ht="13.5" customHeight="1">
      <c r="A158" s="67"/>
      <c r="D158" s="67"/>
    </row>
    <row r="159" ht="13.5" customHeight="1">
      <c r="A159" s="67"/>
      <c r="D159" s="67"/>
    </row>
    <row r="160" ht="13.5" customHeight="1">
      <c r="A160" s="67"/>
      <c r="D160" s="67"/>
    </row>
    <row r="161" ht="13.5" customHeight="1">
      <c r="A161" s="67"/>
      <c r="D161" s="67"/>
    </row>
    <row r="162" ht="13.5" customHeight="1">
      <c r="A162" s="67"/>
      <c r="D162" s="67"/>
    </row>
    <row r="163" ht="13.5" customHeight="1">
      <c r="A163" s="67"/>
      <c r="D163" s="67"/>
    </row>
    <row r="164" ht="13.5" customHeight="1">
      <c r="A164" s="67"/>
      <c r="D164" s="67"/>
    </row>
    <row r="165" ht="13.5" customHeight="1">
      <c r="A165" s="67"/>
      <c r="D165" s="67"/>
    </row>
    <row r="166" ht="13.5" customHeight="1">
      <c r="A166" s="67"/>
      <c r="D166" s="67"/>
    </row>
    <row r="167" ht="13.5" customHeight="1">
      <c r="A167" s="67"/>
      <c r="D167" s="67"/>
    </row>
    <row r="168" ht="13.5" customHeight="1">
      <c r="A168" s="67"/>
      <c r="D168" s="67"/>
    </row>
    <row r="169" ht="13.5" customHeight="1">
      <c r="A169" s="67"/>
      <c r="D169" s="67"/>
    </row>
    <row r="170" ht="13.5" customHeight="1">
      <c r="A170" s="67"/>
      <c r="D170" s="67"/>
    </row>
    <row r="171" ht="13.5" customHeight="1">
      <c r="A171" s="67"/>
      <c r="D171" s="67"/>
    </row>
    <row r="172" ht="13.5" customHeight="1">
      <c r="A172" s="67"/>
      <c r="D172" s="67"/>
    </row>
    <row r="173" ht="13.5" customHeight="1">
      <c r="A173" s="67"/>
      <c r="D173" s="67"/>
    </row>
    <row r="174" ht="13.5" customHeight="1">
      <c r="A174" s="67"/>
      <c r="D174" s="67"/>
    </row>
    <row r="175" ht="13.5" customHeight="1">
      <c r="A175" s="67"/>
      <c r="D175" s="67"/>
    </row>
    <row r="176" ht="13.5" customHeight="1">
      <c r="A176" s="67"/>
      <c r="D176" s="67"/>
    </row>
    <row r="177" ht="13.5" customHeight="1">
      <c r="A177" s="67"/>
      <c r="D177" s="67"/>
    </row>
    <row r="178" ht="13.5" customHeight="1">
      <c r="A178" s="67"/>
      <c r="D178" s="67"/>
    </row>
    <row r="179" ht="13.5" customHeight="1">
      <c r="A179" s="67"/>
      <c r="D179" s="67"/>
    </row>
    <row r="180" ht="13.5" customHeight="1">
      <c r="A180" s="67"/>
      <c r="D180" s="67"/>
    </row>
    <row r="181" ht="13.5" customHeight="1">
      <c r="A181" s="67"/>
      <c r="D181" s="67"/>
    </row>
    <row r="182" ht="13.5" customHeight="1">
      <c r="A182" s="67"/>
      <c r="D182" s="67"/>
    </row>
    <row r="183" ht="13.5" customHeight="1">
      <c r="A183" s="67"/>
      <c r="D183" s="67"/>
    </row>
    <row r="184" ht="13.5" customHeight="1">
      <c r="A184" s="67"/>
      <c r="D184" s="67"/>
    </row>
    <row r="185" ht="13.5" customHeight="1">
      <c r="A185" s="67"/>
      <c r="D185" s="67"/>
    </row>
    <row r="186" ht="13.5" customHeight="1">
      <c r="A186" s="67"/>
      <c r="D186" s="67"/>
    </row>
    <row r="187" ht="13.5" customHeight="1">
      <c r="A187" s="67"/>
      <c r="D187" s="67"/>
    </row>
    <row r="188" ht="13.5" customHeight="1">
      <c r="A188" s="67"/>
      <c r="D188" s="67"/>
    </row>
    <row r="189" ht="13.5" customHeight="1">
      <c r="A189" s="67"/>
      <c r="D189" s="67"/>
    </row>
    <row r="190" ht="13.5" customHeight="1">
      <c r="A190" s="67"/>
      <c r="D190" s="67"/>
    </row>
    <row r="191" ht="13.5" customHeight="1">
      <c r="A191" s="67"/>
      <c r="D191" s="67"/>
    </row>
    <row r="192" ht="13.5" customHeight="1">
      <c r="A192" s="67"/>
      <c r="D192" s="67"/>
    </row>
    <row r="193" ht="13.5" customHeight="1">
      <c r="A193" s="67"/>
      <c r="D193" s="67"/>
    </row>
    <row r="194" ht="13.5" customHeight="1">
      <c r="A194" s="67"/>
      <c r="D194" s="67"/>
    </row>
    <row r="195" ht="13.5" customHeight="1">
      <c r="A195" s="67"/>
      <c r="D195" s="67"/>
    </row>
    <row r="196" ht="13.5" customHeight="1">
      <c r="A196" s="67"/>
      <c r="D196" s="67"/>
    </row>
    <row r="197" ht="13.5" customHeight="1">
      <c r="A197" s="67"/>
      <c r="D197" s="67"/>
    </row>
    <row r="198" ht="13.5" customHeight="1">
      <c r="A198" s="67"/>
      <c r="D198" s="67"/>
    </row>
    <row r="199" ht="13.5" customHeight="1">
      <c r="A199" s="67"/>
      <c r="D199" s="67"/>
    </row>
    <row r="200" ht="13.5" customHeight="1">
      <c r="A200" s="67"/>
      <c r="D200" s="67"/>
    </row>
    <row r="201" ht="13.5" customHeight="1">
      <c r="A201" s="67"/>
      <c r="D201" s="67"/>
    </row>
    <row r="202" ht="13.5" customHeight="1">
      <c r="A202" s="67"/>
      <c r="D202" s="67"/>
    </row>
    <row r="203" ht="13.5" customHeight="1">
      <c r="A203" s="67"/>
      <c r="D203" s="67"/>
    </row>
    <row r="204" ht="13.5" customHeight="1">
      <c r="A204" s="67"/>
      <c r="D204" s="67"/>
    </row>
    <row r="205" ht="13.5" customHeight="1">
      <c r="A205" s="67"/>
      <c r="D205" s="67"/>
    </row>
    <row r="206" ht="13.5" customHeight="1">
      <c r="A206" s="67"/>
      <c r="D206" s="67"/>
    </row>
    <row r="207" ht="13.5" customHeight="1">
      <c r="A207" s="67"/>
      <c r="D207" s="67"/>
    </row>
    <row r="208" ht="13.5" customHeight="1">
      <c r="A208" s="67"/>
      <c r="D208" s="67"/>
    </row>
    <row r="209" ht="13.5" customHeight="1">
      <c r="A209" s="67"/>
      <c r="D209" s="67"/>
    </row>
    <row r="210" ht="13.5" customHeight="1">
      <c r="A210" s="67"/>
      <c r="D210" s="67"/>
    </row>
    <row r="211" ht="13.5" customHeight="1">
      <c r="A211" s="67"/>
      <c r="D211" s="67"/>
    </row>
    <row r="212" ht="13.5" customHeight="1">
      <c r="A212" s="67"/>
      <c r="D212" s="67"/>
    </row>
    <row r="213" ht="13.5" customHeight="1">
      <c r="A213" s="67"/>
      <c r="D213" s="67"/>
    </row>
    <row r="214" ht="13.5" customHeight="1">
      <c r="A214" s="67"/>
      <c r="D214" s="67"/>
    </row>
    <row r="215" ht="13.5" customHeight="1">
      <c r="A215" s="67"/>
      <c r="D215" s="67"/>
    </row>
    <row r="216" ht="13.5" customHeight="1">
      <c r="A216" s="67"/>
      <c r="D216" s="67"/>
    </row>
    <row r="217" ht="13.5" customHeight="1">
      <c r="A217" s="67"/>
      <c r="D217" s="67"/>
    </row>
    <row r="218" ht="13.5" customHeight="1">
      <c r="A218" s="67"/>
      <c r="D218" s="67"/>
    </row>
    <row r="219" ht="13.5" customHeight="1">
      <c r="A219" s="67"/>
      <c r="D219" s="67"/>
    </row>
    <row r="220" ht="13.5" customHeight="1">
      <c r="A220" s="67"/>
      <c r="D220" s="67"/>
    </row>
    <row r="221" ht="13.5" customHeight="1">
      <c r="A221" s="67"/>
      <c r="D221" s="67"/>
    </row>
    <row r="222" ht="13.5" customHeight="1">
      <c r="A222" s="67"/>
      <c r="D222" s="67"/>
    </row>
    <row r="223" ht="13.5" customHeight="1">
      <c r="A223" s="67"/>
      <c r="D223" s="67"/>
    </row>
    <row r="224" ht="13.5" customHeight="1">
      <c r="A224" s="67"/>
      <c r="D224" s="67"/>
    </row>
    <row r="225" ht="13.5" customHeight="1">
      <c r="A225" s="67"/>
      <c r="D225" s="67"/>
    </row>
    <row r="226" ht="13.5" customHeight="1">
      <c r="A226" s="67"/>
      <c r="D226" s="67"/>
    </row>
    <row r="227" ht="13.5" customHeight="1">
      <c r="A227" s="67"/>
      <c r="D227" s="67"/>
    </row>
    <row r="228" ht="13.5" customHeight="1">
      <c r="A228" s="67"/>
      <c r="D228" s="67"/>
    </row>
    <row r="229" ht="13.5" customHeight="1">
      <c r="A229" s="67"/>
      <c r="D229" s="67"/>
    </row>
    <row r="230" ht="13.5" customHeight="1">
      <c r="A230" s="67"/>
      <c r="D230" s="67"/>
    </row>
    <row r="231" ht="13.5" customHeight="1">
      <c r="A231" s="67"/>
      <c r="D231" s="67"/>
    </row>
    <row r="232" ht="13.5" customHeight="1">
      <c r="A232" s="67"/>
      <c r="D232" s="67"/>
    </row>
    <row r="233" ht="13.5" customHeight="1">
      <c r="A233" s="67"/>
      <c r="D233" s="67"/>
    </row>
    <row r="234" ht="13.5" customHeight="1">
      <c r="A234" s="67"/>
      <c r="D234" s="67"/>
    </row>
    <row r="235" ht="13.5" customHeight="1">
      <c r="A235" s="67"/>
      <c r="D235" s="67"/>
    </row>
    <row r="236" ht="13.5" customHeight="1">
      <c r="A236" s="67"/>
      <c r="D236" s="67"/>
    </row>
    <row r="237" ht="13.5" customHeight="1">
      <c r="A237" s="67"/>
      <c r="D237" s="67"/>
    </row>
    <row r="238" ht="13.5" customHeight="1">
      <c r="A238" s="67"/>
      <c r="D238" s="67"/>
    </row>
    <row r="239" ht="13.5" customHeight="1">
      <c r="A239" s="67"/>
      <c r="D239" s="67"/>
    </row>
    <row r="240" ht="13.5" customHeight="1">
      <c r="A240" s="67"/>
      <c r="D240" s="67"/>
    </row>
    <row r="241" ht="13.5" customHeight="1">
      <c r="A241" s="67"/>
      <c r="D241" s="67"/>
    </row>
    <row r="242" ht="13.5" customHeight="1">
      <c r="A242" s="67"/>
      <c r="D242" s="67"/>
    </row>
    <row r="243" ht="13.5" customHeight="1">
      <c r="A243" s="67"/>
      <c r="D243" s="67"/>
    </row>
    <row r="244" ht="13.5" customHeight="1">
      <c r="A244" s="67"/>
      <c r="D244" s="67"/>
    </row>
    <row r="245" ht="13.5" customHeight="1">
      <c r="A245" s="67"/>
      <c r="D245" s="67"/>
    </row>
    <row r="246" ht="13.5" customHeight="1">
      <c r="A246" s="67"/>
      <c r="D246" s="67"/>
    </row>
    <row r="247" ht="13.5" customHeight="1">
      <c r="A247" s="67"/>
      <c r="D247" s="67"/>
    </row>
    <row r="248" ht="13.5" customHeight="1">
      <c r="A248" s="67"/>
      <c r="D248" s="67"/>
    </row>
    <row r="249" ht="13.5" customHeight="1">
      <c r="A249" s="67"/>
      <c r="D249" s="67"/>
    </row>
    <row r="250" ht="13.5" customHeight="1">
      <c r="A250" s="67"/>
      <c r="D250" s="67"/>
    </row>
    <row r="251" ht="13.5" customHeight="1">
      <c r="A251" s="67"/>
      <c r="D251" s="67"/>
    </row>
    <row r="252" ht="13.5" customHeight="1">
      <c r="A252" s="67"/>
      <c r="D252" s="67"/>
    </row>
    <row r="253" ht="13.5" customHeight="1">
      <c r="A253" s="67"/>
      <c r="D253" s="67"/>
    </row>
    <row r="254" ht="13.5" customHeight="1">
      <c r="A254" s="67"/>
      <c r="D254" s="67"/>
    </row>
    <row r="255" ht="13.5" customHeight="1">
      <c r="A255" s="67"/>
      <c r="D255" s="67"/>
    </row>
    <row r="256" ht="13.5" customHeight="1">
      <c r="A256" s="67"/>
      <c r="D256" s="67"/>
    </row>
    <row r="257" ht="13.5" customHeight="1">
      <c r="A257" s="67"/>
      <c r="D257" s="67"/>
    </row>
    <row r="258" ht="13.5" customHeight="1">
      <c r="A258" s="67"/>
      <c r="D258" s="67"/>
    </row>
    <row r="259" ht="13.5" customHeight="1">
      <c r="A259" s="67"/>
      <c r="D259" s="67"/>
    </row>
    <row r="260" ht="13.5" customHeight="1">
      <c r="A260" s="67"/>
      <c r="D260" s="67"/>
    </row>
    <row r="261" ht="13.5" customHeight="1">
      <c r="A261" s="67"/>
      <c r="D261" s="67"/>
    </row>
    <row r="262" ht="13.5" customHeight="1">
      <c r="A262" s="67"/>
      <c r="D262" s="67"/>
    </row>
    <row r="263" ht="13.5" customHeight="1">
      <c r="A263" s="67"/>
      <c r="D263" s="67"/>
    </row>
    <row r="264" ht="13.5" customHeight="1">
      <c r="A264" s="67"/>
      <c r="D264" s="67"/>
    </row>
    <row r="265" ht="13.5" customHeight="1">
      <c r="A265" s="67"/>
      <c r="D265" s="67"/>
    </row>
    <row r="266" ht="13.5" customHeight="1">
      <c r="A266" s="67"/>
      <c r="D266" s="67"/>
    </row>
    <row r="267" ht="13.5" customHeight="1">
      <c r="A267" s="67"/>
      <c r="D267" s="67"/>
    </row>
    <row r="268" ht="13.5" customHeight="1">
      <c r="A268" s="67"/>
      <c r="D268" s="67"/>
    </row>
    <row r="269" ht="13.5" customHeight="1">
      <c r="A269" s="67"/>
      <c r="D269" s="67"/>
    </row>
    <row r="270" ht="13.5" customHeight="1">
      <c r="A270" s="67"/>
      <c r="D270" s="67"/>
    </row>
    <row r="271" ht="13.5" customHeight="1">
      <c r="A271" s="67"/>
      <c r="D271" s="67"/>
    </row>
    <row r="272" ht="13.5" customHeight="1">
      <c r="A272" s="67"/>
      <c r="D272" s="67"/>
    </row>
    <row r="273" ht="13.5" customHeight="1">
      <c r="A273" s="67"/>
      <c r="D273" s="67"/>
    </row>
    <row r="274" ht="13.5" customHeight="1">
      <c r="A274" s="67"/>
      <c r="D274" s="67"/>
    </row>
    <row r="275" ht="13.5" customHeight="1">
      <c r="A275" s="67"/>
      <c r="D275" s="67"/>
    </row>
    <row r="276" ht="13.5" customHeight="1">
      <c r="A276" s="67"/>
      <c r="D276" s="67"/>
    </row>
    <row r="277" ht="13.5" customHeight="1">
      <c r="A277" s="67"/>
      <c r="D277" s="67"/>
    </row>
    <row r="278" ht="13.5" customHeight="1">
      <c r="A278" s="67"/>
      <c r="D278" s="67"/>
    </row>
    <row r="279" ht="13.5" customHeight="1">
      <c r="A279" s="67"/>
      <c r="D279" s="67"/>
    </row>
    <row r="280" ht="13.5" customHeight="1">
      <c r="A280" s="67"/>
      <c r="D280" s="67"/>
    </row>
    <row r="281" ht="13.5" customHeight="1">
      <c r="A281" s="67"/>
      <c r="D281" s="67"/>
    </row>
    <row r="282" ht="13.5" customHeight="1">
      <c r="A282" s="67"/>
      <c r="D282" s="67"/>
    </row>
    <row r="283" ht="13.5" customHeight="1">
      <c r="A283" s="67"/>
      <c r="D283" s="67"/>
    </row>
    <row r="284" ht="13.5" customHeight="1">
      <c r="A284" s="67"/>
      <c r="D284" s="67"/>
    </row>
    <row r="285" ht="13.5" customHeight="1">
      <c r="A285" s="67"/>
      <c r="D285" s="67"/>
    </row>
    <row r="286" ht="13.5" customHeight="1">
      <c r="A286" s="67"/>
      <c r="D286" s="67"/>
    </row>
    <row r="287" ht="13.5" customHeight="1">
      <c r="A287" s="67"/>
      <c r="D287" s="67"/>
    </row>
    <row r="288" ht="13.5" customHeight="1">
      <c r="A288" s="67"/>
      <c r="D288" s="67"/>
    </row>
    <row r="289" ht="13.5" customHeight="1">
      <c r="A289" s="67"/>
      <c r="D289" s="67"/>
    </row>
    <row r="290" ht="13.5" customHeight="1">
      <c r="A290" s="67"/>
      <c r="D290" s="67"/>
    </row>
    <row r="291" ht="13.5" customHeight="1">
      <c r="A291" s="67"/>
      <c r="D291" s="67"/>
    </row>
    <row r="292" ht="13.5" customHeight="1">
      <c r="A292" s="67"/>
      <c r="D292" s="67"/>
    </row>
    <row r="293" ht="13.5" customHeight="1">
      <c r="A293" s="67"/>
      <c r="D293" s="67"/>
    </row>
    <row r="294" ht="13.5" customHeight="1">
      <c r="A294" s="67"/>
      <c r="D294" s="67"/>
    </row>
    <row r="295" ht="13.5" customHeight="1">
      <c r="A295" s="67"/>
      <c r="D295" s="67"/>
    </row>
    <row r="296" ht="13.5" customHeight="1">
      <c r="A296" s="67"/>
      <c r="D296" s="67"/>
    </row>
    <row r="297" ht="13.5" customHeight="1">
      <c r="A297" s="67"/>
      <c r="D297" s="67"/>
    </row>
    <row r="298" ht="13.5" customHeight="1">
      <c r="A298" s="67"/>
      <c r="D298" s="67"/>
    </row>
    <row r="299" ht="13.5" customHeight="1">
      <c r="A299" s="67"/>
      <c r="D299" s="67"/>
    </row>
    <row r="300" ht="13.5" customHeight="1">
      <c r="A300" s="67"/>
      <c r="D300" s="67"/>
    </row>
    <row r="301" ht="13.5" customHeight="1">
      <c r="A301" s="67"/>
      <c r="D301" s="67"/>
    </row>
    <row r="302" ht="13.5" customHeight="1">
      <c r="A302" s="67"/>
      <c r="D302" s="67"/>
    </row>
    <row r="303" ht="13.5" customHeight="1">
      <c r="A303" s="67"/>
      <c r="D303" s="67"/>
    </row>
    <row r="304" ht="13.5" customHeight="1">
      <c r="A304" s="67"/>
      <c r="D304" s="67"/>
    </row>
    <row r="305" ht="13.5" customHeight="1">
      <c r="A305" s="67"/>
      <c r="D305" s="67"/>
    </row>
    <row r="306" ht="13.5" customHeight="1">
      <c r="A306" s="67"/>
      <c r="D306" s="67"/>
    </row>
    <row r="307" ht="13.5" customHeight="1">
      <c r="A307" s="67"/>
      <c r="D307" s="67"/>
    </row>
    <row r="308" ht="13.5" customHeight="1">
      <c r="A308" s="67"/>
      <c r="D308" s="67"/>
    </row>
    <row r="309" ht="13.5" customHeight="1">
      <c r="A309" s="67"/>
      <c r="D309" s="67"/>
    </row>
    <row r="310" ht="13.5" customHeight="1">
      <c r="A310" s="67"/>
      <c r="D310" s="67"/>
    </row>
    <row r="311" ht="13.5" customHeight="1">
      <c r="A311" s="67"/>
      <c r="D311" s="67"/>
    </row>
    <row r="312" ht="13.5" customHeight="1">
      <c r="A312" s="67"/>
      <c r="D312" s="67"/>
    </row>
    <row r="313" ht="13.5" customHeight="1">
      <c r="A313" s="67"/>
      <c r="D313" s="67"/>
    </row>
    <row r="314" ht="13.5" customHeight="1">
      <c r="A314" s="67"/>
      <c r="D314" s="67"/>
    </row>
    <row r="315" ht="13.5" customHeight="1">
      <c r="A315" s="67"/>
      <c r="D315" s="67"/>
    </row>
    <row r="316" ht="13.5" customHeight="1">
      <c r="A316" s="67"/>
      <c r="D316" s="67"/>
    </row>
    <row r="317" ht="13.5" customHeight="1">
      <c r="A317" s="67"/>
      <c r="D317" s="67"/>
    </row>
    <row r="318" ht="13.5" customHeight="1">
      <c r="A318" s="67"/>
      <c r="D318" s="67"/>
    </row>
    <row r="319" ht="13.5" customHeight="1">
      <c r="A319" s="67"/>
      <c r="D319" s="67"/>
    </row>
    <row r="320" ht="13.5" customHeight="1">
      <c r="A320" s="67"/>
      <c r="D320" s="67"/>
    </row>
    <row r="321" ht="13.5" customHeight="1">
      <c r="A321" s="67"/>
      <c r="D321" s="67"/>
    </row>
    <row r="322" ht="13.5" customHeight="1">
      <c r="A322" s="67"/>
      <c r="D322" s="67"/>
    </row>
    <row r="323" ht="13.5" customHeight="1">
      <c r="A323" s="67"/>
      <c r="D323" s="67"/>
    </row>
    <row r="324" ht="13.5" customHeight="1">
      <c r="A324" s="67"/>
      <c r="D324" s="67"/>
    </row>
    <row r="325" ht="13.5" customHeight="1">
      <c r="A325" s="67"/>
      <c r="D325" s="67"/>
    </row>
    <row r="326" ht="13.5" customHeight="1">
      <c r="A326" s="67"/>
      <c r="D326" s="67"/>
    </row>
    <row r="327" ht="13.5" customHeight="1">
      <c r="A327" s="67"/>
      <c r="D327" s="67"/>
    </row>
    <row r="328" ht="13.5" customHeight="1">
      <c r="A328" s="67"/>
      <c r="D328" s="67"/>
    </row>
    <row r="329" ht="13.5" customHeight="1">
      <c r="A329" s="67"/>
      <c r="D329" s="67"/>
    </row>
    <row r="330" ht="13.5" customHeight="1">
      <c r="A330" s="67"/>
      <c r="D330" s="67"/>
    </row>
    <row r="331" ht="13.5" customHeight="1">
      <c r="A331" s="67"/>
      <c r="D331" s="67"/>
    </row>
    <row r="332" ht="13.5" customHeight="1">
      <c r="A332" s="67"/>
      <c r="D332" s="67"/>
    </row>
    <row r="333" ht="13.5" customHeight="1">
      <c r="A333" s="67"/>
      <c r="D333" s="67"/>
    </row>
    <row r="334" ht="13.5" customHeight="1">
      <c r="A334" s="67"/>
      <c r="D334" s="67"/>
    </row>
    <row r="335" ht="13.5" customHeight="1">
      <c r="A335" s="67"/>
      <c r="D335" s="67"/>
    </row>
    <row r="336" ht="13.5" customHeight="1">
      <c r="A336" s="67"/>
      <c r="D336" s="67"/>
    </row>
    <row r="337" ht="13.5" customHeight="1">
      <c r="A337" s="67"/>
      <c r="D337" s="67"/>
    </row>
    <row r="338" ht="13.5" customHeight="1">
      <c r="A338" s="67"/>
      <c r="D338" s="67"/>
    </row>
    <row r="339" ht="13.5" customHeight="1">
      <c r="A339" s="67"/>
      <c r="D339" s="67"/>
    </row>
    <row r="340" ht="13.5" customHeight="1">
      <c r="A340" s="67"/>
      <c r="D340" s="67"/>
    </row>
    <row r="341" ht="13.5" customHeight="1">
      <c r="A341" s="67"/>
      <c r="D341" s="67"/>
    </row>
    <row r="342" ht="13.5" customHeight="1">
      <c r="A342" s="67"/>
      <c r="D342" s="67"/>
    </row>
    <row r="343" ht="13.5" customHeight="1">
      <c r="A343" s="67"/>
      <c r="D343" s="67"/>
    </row>
    <row r="344" ht="13.5" customHeight="1">
      <c r="A344" s="67"/>
      <c r="D344" s="67"/>
    </row>
    <row r="345" ht="13.5" customHeight="1">
      <c r="A345" s="67"/>
      <c r="D345" s="67"/>
    </row>
    <row r="346" ht="13.5" customHeight="1">
      <c r="A346" s="67"/>
      <c r="D346" s="67"/>
    </row>
    <row r="347" ht="13.5" customHeight="1">
      <c r="A347" s="67"/>
      <c r="D347" s="67"/>
    </row>
    <row r="348" ht="13.5" customHeight="1">
      <c r="A348" s="67"/>
      <c r="D348" s="67"/>
    </row>
    <row r="349" ht="13.5" customHeight="1">
      <c r="A349" s="67"/>
      <c r="D349" s="67"/>
    </row>
    <row r="350" ht="13.5" customHeight="1">
      <c r="A350" s="67"/>
      <c r="D350" s="67"/>
    </row>
    <row r="351" ht="13.5" customHeight="1">
      <c r="A351" s="67"/>
      <c r="D351" s="67"/>
    </row>
    <row r="352" ht="13.5" customHeight="1">
      <c r="A352" s="67"/>
      <c r="D352" s="67"/>
    </row>
    <row r="353" ht="13.5" customHeight="1">
      <c r="A353" s="67"/>
      <c r="D353" s="67"/>
    </row>
    <row r="354" ht="13.5" customHeight="1">
      <c r="A354" s="67"/>
      <c r="D354" s="67"/>
    </row>
    <row r="355" ht="13.5" customHeight="1">
      <c r="A355" s="67"/>
      <c r="D355" s="67"/>
    </row>
    <row r="356" ht="13.5" customHeight="1">
      <c r="A356" s="67"/>
      <c r="D356" s="67"/>
    </row>
    <row r="357" ht="13.5" customHeight="1">
      <c r="A357" s="67"/>
      <c r="D357" s="67"/>
    </row>
    <row r="358" ht="13.5" customHeight="1">
      <c r="A358" s="67"/>
      <c r="D358" s="67"/>
    </row>
    <row r="359" ht="13.5" customHeight="1">
      <c r="A359" s="67"/>
      <c r="D359" s="67"/>
    </row>
    <row r="360" ht="13.5" customHeight="1">
      <c r="A360" s="67"/>
      <c r="D360" s="67"/>
    </row>
    <row r="361" ht="13.5" customHeight="1">
      <c r="A361" s="67"/>
      <c r="D361" s="67"/>
    </row>
    <row r="362" ht="13.5" customHeight="1">
      <c r="A362" s="67"/>
      <c r="D362" s="67"/>
    </row>
    <row r="363" ht="13.5" customHeight="1">
      <c r="A363" s="67"/>
      <c r="D363" s="67"/>
    </row>
    <row r="364" ht="13.5" customHeight="1">
      <c r="A364" s="67"/>
      <c r="D364" s="67"/>
    </row>
    <row r="365" ht="13.5" customHeight="1">
      <c r="A365" s="67"/>
      <c r="D365" s="67"/>
    </row>
    <row r="366" ht="13.5" customHeight="1">
      <c r="A366" s="67"/>
      <c r="D366" s="67"/>
    </row>
    <row r="367" ht="13.5" customHeight="1">
      <c r="A367" s="67"/>
      <c r="D367" s="67"/>
    </row>
    <row r="368" ht="13.5" customHeight="1">
      <c r="A368" s="67"/>
      <c r="D368" s="67"/>
    </row>
    <row r="369" ht="13.5" customHeight="1">
      <c r="A369" s="67"/>
      <c r="D369" s="67"/>
    </row>
    <row r="370" ht="13.5" customHeight="1">
      <c r="A370" s="67"/>
      <c r="D370" s="67"/>
    </row>
    <row r="371" ht="13.5" customHeight="1">
      <c r="A371" s="67"/>
      <c r="D371" s="67"/>
    </row>
    <row r="372" ht="13.5" customHeight="1">
      <c r="A372" s="67"/>
      <c r="D372" s="67"/>
    </row>
    <row r="373" ht="13.5" customHeight="1">
      <c r="A373" s="67"/>
      <c r="D373" s="67"/>
    </row>
    <row r="374" ht="13.5" customHeight="1">
      <c r="A374" s="67"/>
      <c r="D374" s="67"/>
    </row>
    <row r="375" ht="13.5" customHeight="1">
      <c r="A375" s="67"/>
      <c r="D375" s="67"/>
    </row>
    <row r="376" ht="13.5" customHeight="1">
      <c r="A376" s="67"/>
      <c r="D376" s="67"/>
    </row>
    <row r="377" ht="13.5" customHeight="1">
      <c r="A377" s="67"/>
      <c r="D377" s="67"/>
    </row>
    <row r="378" ht="13.5" customHeight="1">
      <c r="A378" s="67"/>
      <c r="D378" s="67"/>
    </row>
    <row r="379" ht="13.5" customHeight="1">
      <c r="A379" s="67"/>
      <c r="D379" s="67"/>
    </row>
    <row r="380" ht="13.5" customHeight="1">
      <c r="A380" s="67"/>
      <c r="D380" s="67"/>
    </row>
    <row r="381" ht="13.5" customHeight="1">
      <c r="A381" s="67"/>
      <c r="D381" s="67"/>
    </row>
    <row r="382" ht="13.5" customHeight="1">
      <c r="A382" s="67"/>
      <c r="D382" s="67"/>
    </row>
    <row r="383" ht="13.5" customHeight="1">
      <c r="A383" s="67"/>
      <c r="D383" s="67"/>
    </row>
    <row r="384" ht="13.5" customHeight="1">
      <c r="A384" s="67"/>
      <c r="D384" s="67"/>
    </row>
    <row r="385" ht="13.5" customHeight="1">
      <c r="A385" s="67"/>
      <c r="D385" s="67"/>
    </row>
    <row r="386" ht="13.5" customHeight="1">
      <c r="A386" s="67"/>
      <c r="D386" s="67"/>
    </row>
    <row r="387" ht="13.5" customHeight="1">
      <c r="A387" s="67"/>
      <c r="D387" s="67"/>
    </row>
    <row r="388" ht="13.5" customHeight="1">
      <c r="A388" s="67"/>
      <c r="D388" s="67"/>
    </row>
    <row r="389" ht="13.5" customHeight="1">
      <c r="A389" s="67"/>
      <c r="D389" s="67"/>
    </row>
    <row r="390" ht="13.5" customHeight="1">
      <c r="A390" s="67"/>
      <c r="D390" s="67"/>
    </row>
    <row r="391" ht="13.5" customHeight="1">
      <c r="A391" s="67"/>
      <c r="D391" s="67"/>
    </row>
    <row r="392" ht="13.5" customHeight="1">
      <c r="A392" s="67"/>
      <c r="D392" s="67"/>
    </row>
    <row r="393" ht="13.5" customHeight="1">
      <c r="A393" s="67"/>
      <c r="D393" s="67"/>
    </row>
    <row r="394" ht="13.5" customHeight="1">
      <c r="A394" s="67"/>
      <c r="D394" s="67"/>
    </row>
    <row r="395" ht="13.5" customHeight="1">
      <c r="A395" s="67"/>
      <c r="D395" s="67"/>
    </row>
    <row r="396" ht="13.5" customHeight="1">
      <c r="A396" s="67"/>
      <c r="D396" s="67"/>
    </row>
    <row r="397" ht="13.5" customHeight="1">
      <c r="A397" s="67"/>
      <c r="D397" s="67"/>
    </row>
    <row r="398" ht="13.5" customHeight="1">
      <c r="A398" s="67"/>
      <c r="D398" s="67"/>
    </row>
    <row r="399" ht="13.5" customHeight="1">
      <c r="A399" s="67"/>
      <c r="D399" s="67"/>
    </row>
    <row r="400" ht="13.5" customHeight="1">
      <c r="A400" s="67"/>
      <c r="D400" s="67"/>
    </row>
    <row r="401" ht="13.5" customHeight="1">
      <c r="A401" s="67"/>
      <c r="D401" s="67"/>
    </row>
    <row r="402" ht="13.5" customHeight="1">
      <c r="A402" s="67"/>
      <c r="D402" s="67"/>
    </row>
    <row r="403" ht="13.5" customHeight="1">
      <c r="A403" s="67"/>
      <c r="D403" s="67"/>
    </row>
    <row r="404" ht="13.5" customHeight="1">
      <c r="A404" s="67"/>
      <c r="D404" s="67"/>
    </row>
    <row r="405" ht="13.5" customHeight="1">
      <c r="A405" s="67"/>
      <c r="D405" s="67"/>
    </row>
    <row r="406" ht="13.5" customHeight="1">
      <c r="A406" s="67"/>
      <c r="D406" s="67"/>
    </row>
    <row r="407" ht="13.5" customHeight="1">
      <c r="A407" s="67"/>
      <c r="D407" s="67"/>
    </row>
    <row r="408" ht="13.5" customHeight="1">
      <c r="A408" s="67"/>
      <c r="D408" s="67"/>
    </row>
    <row r="409" ht="13.5" customHeight="1">
      <c r="A409" s="67"/>
      <c r="D409" s="67"/>
    </row>
    <row r="410" ht="13.5" customHeight="1">
      <c r="A410" s="67"/>
      <c r="D410" s="67"/>
    </row>
    <row r="411" ht="13.5" customHeight="1">
      <c r="A411" s="67"/>
      <c r="D411" s="67"/>
    </row>
    <row r="412" ht="13.5" customHeight="1">
      <c r="A412" s="67"/>
      <c r="D412" s="67"/>
    </row>
    <row r="413" ht="13.5" customHeight="1">
      <c r="A413" s="67"/>
      <c r="D413" s="67"/>
    </row>
    <row r="414" ht="13.5" customHeight="1">
      <c r="A414" s="67"/>
      <c r="D414" s="67"/>
    </row>
    <row r="415" ht="13.5" customHeight="1">
      <c r="A415" s="67"/>
      <c r="D415" s="67"/>
    </row>
    <row r="416" ht="13.5" customHeight="1">
      <c r="A416" s="67"/>
      <c r="D416" s="67"/>
    </row>
    <row r="417" ht="13.5" customHeight="1">
      <c r="A417" s="67"/>
      <c r="D417" s="67"/>
    </row>
    <row r="418" ht="13.5" customHeight="1">
      <c r="A418" s="67"/>
      <c r="D418" s="67"/>
    </row>
    <row r="419" ht="13.5" customHeight="1">
      <c r="A419" s="67"/>
      <c r="D419" s="67"/>
    </row>
    <row r="420" ht="13.5" customHeight="1">
      <c r="A420" s="67"/>
      <c r="D420" s="67"/>
    </row>
    <row r="421" ht="13.5" customHeight="1">
      <c r="A421" s="67"/>
      <c r="D421" s="67"/>
    </row>
    <row r="422" ht="13.5" customHeight="1">
      <c r="A422" s="67"/>
      <c r="D422" s="67"/>
    </row>
    <row r="423" ht="13.5" customHeight="1">
      <c r="A423" s="67"/>
      <c r="D423" s="67"/>
    </row>
    <row r="424" ht="13.5" customHeight="1">
      <c r="A424" s="67"/>
      <c r="D424" s="67"/>
    </row>
    <row r="425" ht="13.5" customHeight="1">
      <c r="A425" s="67"/>
      <c r="D425" s="67"/>
    </row>
    <row r="426" ht="13.5" customHeight="1">
      <c r="A426" s="67"/>
      <c r="D426" s="67"/>
    </row>
    <row r="427" ht="13.5" customHeight="1">
      <c r="A427" s="67"/>
      <c r="D427" s="67"/>
    </row>
    <row r="428" ht="13.5" customHeight="1">
      <c r="A428" s="67"/>
      <c r="D428" s="67"/>
    </row>
    <row r="429" ht="13.5" customHeight="1">
      <c r="A429" s="67"/>
      <c r="D429" s="67"/>
    </row>
    <row r="430" ht="13.5" customHeight="1">
      <c r="A430" s="67"/>
      <c r="D430" s="67"/>
    </row>
    <row r="431" ht="13.5" customHeight="1">
      <c r="A431" s="67"/>
      <c r="D431" s="67"/>
    </row>
    <row r="432" ht="13.5" customHeight="1">
      <c r="A432" s="67"/>
      <c r="D432" s="67"/>
    </row>
    <row r="433" ht="13.5" customHeight="1">
      <c r="A433" s="67"/>
      <c r="D433" s="67"/>
    </row>
    <row r="434" ht="13.5" customHeight="1">
      <c r="A434" s="67"/>
      <c r="D434" s="67"/>
    </row>
    <row r="435" ht="13.5" customHeight="1">
      <c r="A435" s="67"/>
      <c r="D435" s="67"/>
    </row>
    <row r="436" ht="13.5" customHeight="1">
      <c r="A436" s="67"/>
      <c r="D436" s="67"/>
    </row>
    <row r="437" ht="13.5" customHeight="1">
      <c r="A437" s="67"/>
      <c r="D437" s="67"/>
    </row>
    <row r="438" ht="13.5" customHeight="1">
      <c r="A438" s="67"/>
      <c r="D438" s="67"/>
    </row>
    <row r="439" ht="13.5" customHeight="1">
      <c r="A439" s="67"/>
      <c r="D439" s="67"/>
    </row>
    <row r="440" ht="13.5" customHeight="1">
      <c r="A440" s="67"/>
      <c r="D440" s="67"/>
    </row>
    <row r="441" ht="13.5" customHeight="1">
      <c r="A441" s="67"/>
      <c r="D441" s="67"/>
    </row>
    <row r="442" ht="13.5" customHeight="1">
      <c r="A442" s="67"/>
      <c r="D442" s="67"/>
    </row>
    <row r="443" ht="13.5" customHeight="1">
      <c r="A443" s="67"/>
      <c r="D443" s="67"/>
    </row>
    <row r="444" ht="13.5" customHeight="1">
      <c r="A444" s="67"/>
      <c r="D444" s="67"/>
    </row>
    <row r="445" ht="13.5" customHeight="1">
      <c r="A445" s="67"/>
      <c r="D445" s="67"/>
    </row>
    <row r="446" ht="13.5" customHeight="1">
      <c r="A446" s="67"/>
      <c r="D446" s="67"/>
    </row>
    <row r="447" ht="13.5" customHeight="1">
      <c r="A447" s="67"/>
      <c r="D447" s="67"/>
    </row>
    <row r="448" ht="13.5" customHeight="1">
      <c r="A448" s="67"/>
      <c r="D448" s="67"/>
    </row>
    <row r="449" ht="13.5" customHeight="1">
      <c r="A449" s="67"/>
      <c r="D449" s="67"/>
    </row>
    <row r="450" ht="13.5" customHeight="1">
      <c r="A450" s="67"/>
      <c r="D450" s="67"/>
    </row>
    <row r="451" ht="13.5" customHeight="1">
      <c r="A451" s="67"/>
      <c r="D451" s="67"/>
    </row>
    <row r="452" ht="13.5" customHeight="1">
      <c r="A452" s="67"/>
      <c r="D452" s="67"/>
    </row>
    <row r="453" ht="13.5" customHeight="1">
      <c r="A453" s="67"/>
      <c r="D453" s="67"/>
    </row>
    <row r="454" ht="13.5" customHeight="1">
      <c r="A454" s="67"/>
      <c r="D454" s="67"/>
    </row>
    <row r="455" ht="13.5" customHeight="1">
      <c r="A455" s="67"/>
      <c r="D455" s="67"/>
    </row>
    <row r="456" ht="13.5" customHeight="1">
      <c r="A456" s="67"/>
      <c r="D456" s="67"/>
    </row>
    <row r="457" ht="13.5" customHeight="1">
      <c r="A457" s="67"/>
      <c r="D457" s="67"/>
    </row>
    <row r="458" ht="13.5" customHeight="1">
      <c r="A458" s="67"/>
      <c r="D458" s="67"/>
    </row>
    <row r="459" ht="13.5" customHeight="1">
      <c r="A459" s="67"/>
      <c r="D459" s="67"/>
    </row>
    <row r="460" ht="13.5" customHeight="1">
      <c r="A460" s="67"/>
      <c r="D460" s="67"/>
    </row>
    <row r="461" ht="13.5" customHeight="1">
      <c r="A461" s="67"/>
      <c r="D461" s="67"/>
    </row>
    <row r="462" ht="13.5" customHeight="1">
      <c r="A462" s="67"/>
      <c r="D462" s="67"/>
    </row>
    <row r="463" ht="13.5" customHeight="1">
      <c r="A463" s="67"/>
      <c r="D463" s="67"/>
    </row>
    <row r="464" ht="13.5" customHeight="1">
      <c r="A464" s="67"/>
      <c r="D464" s="67"/>
    </row>
    <row r="465" ht="13.5" customHeight="1">
      <c r="A465" s="67"/>
      <c r="D465" s="67"/>
    </row>
    <row r="466" ht="13.5" customHeight="1">
      <c r="A466" s="67"/>
      <c r="D466" s="67"/>
    </row>
    <row r="467" ht="13.5" customHeight="1">
      <c r="A467" s="67"/>
      <c r="D467" s="67"/>
    </row>
    <row r="468" ht="13.5" customHeight="1">
      <c r="A468" s="67"/>
      <c r="D468" s="67"/>
    </row>
    <row r="469" ht="13.5" customHeight="1">
      <c r="A469" s="67"/>
      <c r="D469" s="67"/>
    </row>
    <row r="470" ht="13.5" customHeight="1">
      <c r="A470" s="67"/>
      <c r="D470" s="67"/>
    </row>
    <row r="471" ht="13.5" customHeight="1">
      <c r="A471" s="67"/>
      <c r="D471" s="67"/>
    </row>
    <row r="472" ht="13.5" customHeight="1">
      <c r="A472" s="67"/>
      <c r="D472" s="67"/>
    </row>
    <row r="473" ht="13.5" customHeight="1">
      <c r="A473" s="67"/>
      <c r="D473" s="67"/>
    </row>
    <row r="474" ht="13.5" customHeight="1">
      <c r="A474" s="67"/>
      <c r="D474" s="67"/>
    </row>
    <row r="475" ht="13.5" customHeight="1">
      <c r="A475" s="67"/>
      <c r="D475" s="67"/>
    </row>
    <row r="476" ht="13.5" customHeight="1">
      <c r="A476" s="67"/>
      <c r="D476" s="67"/>
    </row>
    <row r="477" ht="13.5" customHeight="1">
      <c r="A477" s="67"/>
      <c r="D477" s="67"/>
    </row>
    <row r="478" ht="13.5" customHeight="1">
      <c r="A478" s="67"/>
      <c r="D478" s="67"/>
    </row>
    <row r="479" ht="13.5" customHeight="1">
      <c r="A479" s="67"/>
      <c r="D479" s="67"/>
    </row>
    <row r="480" ht="13.5" customHeight="1">
      <c r="A480" s="67"/>
      <c r="D480" s="67"/>
    </row>
    <row r="481" ht="13.5" customHeight="1">
      <c r="A481" s="67"/>
      <c r="D481" s="67"/>
    </row>
    <row r="482" ht="13.5" customHeight="1">
      <c r="A482" s="67"/>
      <c r="D482" s="67"/>
    </row>
    <row r="483" ht="13.5" customHeight="1">
      <c r="A483" s="67"/>
      <c r="D483" s="67"/>
    </row>
    <row r="484" ht="13.5" customHeight="1">
      <c r="A484" s="67"/>
      <c r="D484" s="67"/>
    </row>
    <row r="485" ht="13.5" customHeight="1">
      <c r="A485" s="67"/>
      <c r="D485" s="67"/>
    </row>
    <row r="486" ht="13.5" customHeight="1">
      <c r="A486" s="67"/>
      <c r="D486" s="67"/>
    </row>
    <row r="487" ht="13.5" customHeight="1">
      <c r="A487" s="67"/>
      <c r="D487" s="67"/>
    </row>
    <row r="488" ht="13.5" customHeight="1">
      <c r="A488" s="67"/>
      <c r="D488" s="67"/>
    </row>
    <row r="489" ht="13.5" customHeight="1">
      <c r="A489" s="67"/>
      <c r="D489" s="67"/>
    </row>
    <row r="490" ht="13.5" customHeight="1">
      <c r="A490" s="67"/>
      <c r="D490" s="67"/>
    </row>
    <row r="491" ht="13.5" customHeight="1">
      <c r="A491" s="67"/>
      <c r="D491" s="67"/>
    </row>
    <row r="492" ht="13.5" customHeight="1">
      <c r="A492" s="67"/>
      <c r="D492" s="67"/>
    </row>
    <row r="493" ht="13.5" customHeight="1">
      <c r="A493" s="67"/>
      <c r="D493" s="67"/>
    </row>
    <row r="494" ht="13.5" customHeight="1">
      <c r="A494" s="67"/>
      <c r="D494" s="67"/>
    </row>
    <row r="495" ht="13.5" customHeight="1">
      <c r="A495" s="67"/>
      <c r="D495" s="67"/>
    </row>
    <row r="496" ht="13.5" customHeight="1">
      <c r="A496" s="67"/>
      <c r="D496" s="67"/>
    </row>
    <row r="497" ht="13.5" customHeight="1">
      <c r="A497" s="67"/>
      <c r="D497" s="67"/>
    </row>
    <row r="498" ht="13.5" customHeight="1">
      <c r="A498" s="67"/>
      <c r="D498" s="67"/>
    </row>
    <row r="499" ht="13.5" customHeight="1">
      <c r="A499" s="67"/>
      <c r="D499" s="67"/>
    </row>
    <row r="500" ht="13.5" customHeight="1">
      <c r="A500" s="67"/>
      <c r="D500" s="67"/>
    </row>
    <row r="501" ht="13.5" customHeight="1">
      <c r="A501" s="67"/>
      <c r="D501" s="67"/>
    </row>
    <row r="502" ht="13.5" customHeight="1">
      <c r="A502" s="67"/>
      <c r="D502" s="67"/>
    </row>
    <row r="503" ht="13.5" customHeight="1">
      <c r="A503" s="67"/>
      <c r="D503" s="67"/>
    </row>
    <row r="504" ht="13.5" customHeight="1">
      <c r="A504" s="67"/>
      <c r="D504" s="67"/>
    </row>
    <row r="505" ht="13.5" customHeight="1">
      <c r="A505" s="67"/>
      <c r="D505" s="67"/>
    </row>
    <row r="506" ht="13.5" customHeight="1">
      <c r="A506" s="67"/>
      <c r="D506" s="67"/>
    </row>
    <row r="507" ht="13.5" customHeight="1">
      <c r="A507" s="67"/>
      <c r="D507" s="67"/>
    </row>
    <row r="508" ht="13.5" customHeight="1">
      <c r="A508" s="67"/>
      <c r="D508" s="67"/>
    </row>
    <row r="509" ht="13.5" customHeight="1">
      <c r="A509" s="67"/>
      <c r="D509" s="67"/>
    </row>
    <row r="510" ht="13.5" customHeight="1">
      <c r="A510" s="67"/>
      <c r="D510" s="67"/>
    </row>
    <row r="511" ht="13.5" customHeight="1">
      <c r="A511" s="67"/>
      <c r="D511" s="67"/>
    </row>
    <row r="512" ht="13.5" customHeight="1">
      <c r="A512" s="67"/>
      <c r="D512" s="67"/>
    </row>
    <row r="513" ht="13.5" customHeight="1">
      <c r="A513" s="67"/>
      <c r="D513" s="67"/>
    </row>
    <row r="514" ht="13.5" customHeight="1">
      <c r="A514" s="67"/>
      <c r="D514" s="67"/>
    </row>
    <row r="515" ht="13.5" customHeight="1">
      <c r="A515" s="67"/>
      <c r="D515" s="67"/>
    </row>
    <row r="516" ht="13.5" customHeight="1">
      <c r="A516" s="67"/>
      <c r="D516" s="67"/>
    </row>
    <row r="517" ht="13.5" customHeight="1">
      <c r="A517" s="67"/>
      <c r="D517" s="67"/>
    </row>
    <row r="518" ht="13.5" customHeight="1">
      <c r="A518" s="67"/>
      <c r="D518" s="67"/>
    </row>
    <row r="519" ht="13.5" customHeight="1">
      <c r="A519" s="67"/>
      <c r="D519" s="67"/>
    </row>
    <row r="520" ht="13.5" customHeight="1">
      <c r="A520" s="67"/>
      <c r="D520" s="67"/>
    </row>
    <row r="521" ht="13.5" customHeight="1">
      <c r="A521" s="67"/>
      <c r="D521" s="67"/>
    </row>
    <row r="522" ht="13.5" customHeight="1">
      <c r="A522" s="67"/>
      <c r="D522" s="67"/>
    </row>
    <row r="523" ht="13.5" customHeight="1">
      <c r="A523" s="67"/>
      <c r="D523" s="67"/>
    </row>
    <row r="524" ht="13.5" customHeight="1">
      <c r="A524" s="67"/>
      <c r="D524" s="67"/>
    </row>
    <row r="525" ht="13.5" customHeight="1">
      <c r="A525" s="67"/>
      <c r="D525" s="67"/>
    </row>
    <row r="526" ht="13.5" customHeight="1">
      <c r="A526" s="67"/>
      <c r="D526" s="67"/>
    </row>
    <row r="527" ht="13.5" customHeight="1">
      <c r="A527" s="67"/>
      <c r="D527" s="67"/>
    </row>
    <row r="528" ht="13.5" customHeight="1">
      <c r="A528" s="67"/>
      <c r="D528" s="67"/>
    </row>
    <row r="529" ht="13.5" customHeight="1">
      <c r="A529" s="67"/>
      <c r="D529" s="67"/>
    </row>
    <row r="530" ht="13.5" customHeight="1">
      <c r="A530" s="67"/>
      <c r="D530" s="67"/>
    </row>
    <row r="531" ht="13.5" customHeight="1">
      <c r="A531" s="67"/>
      <c r="D531" s="67"/>
    </row>
    <row r="532" ht="13.5" customHeight="1">
      <c r="A532" s="67"/>
      <c r="D532" s="67"/>
    </row>
    <row r="533" ht="13.5" customHeight="1">
      <c r="A533" s="67"/>
      <c r="D533" s="67"/>
    </row>
    <row r="534" ht="13.5" customHeight="1">
      <c r="A534" s="67"/>
      <c r="D534" s="67"/>
    </row>
    <row r="535" ht="13.5" customHeight="1">
      <c r="A535" s="67"/>
      <c r="D535" s="67"/>
    </row>
    <row r="536" ht="13.5" customHeight="1">
      <c r="A536" s="67"/>
      <c r="D536" s="67"/>
    </row>
    <row r="537" ht="13.5" customHeight="1">
      <c r="A537" s="67"/>
      <c r="D537" s="67"/>
    </row>
    <row r="538" ht="13.5" customHeight="1">
      <c r="A538" s="67"/>
      <c r="D538" s="67"/>
    </row>
    <row r="539" ht="13.5" customHeight="1">
      <c r="A539" s="67"/>
      <c r="D539" s="67"/>
    </row>
    <row r="540" ht="13.5" customHeight="1">
      <c r="A540" s="67"/>
      <c r="D540" s="67"/>
    </row>
    <row r="541" ht="13.5" customHeight="1">
      <c r="A541" s="67"/>
      <c r="D541" s="67"/>
    </row>
    <row r="542" ht="13.5" customHeight="1">
      <c r="A542" s="67"/>
      <c r="D542" s="67"/>
    </row>
    <row r="543" ht="13.5" customHeight="1">
      <c r="A543" s="67"/>
      <c r="D543" s="67"/>
    </row>
    <row r="544" ht="13.5" customHeight="1">
      <c r="A544" s="67"/>
      <c r="D544" s="67"/>
    </row>
    <row r="545" ht="13.5" customHeight="1">
      <c r="A545" s="67"/>
      <c r="D545" s="67"/>
    </row>
    <row r="546" ht="13.5" customHeight="1">
      <c r="A546" s="67"/>
      <c r="D546" s="67"/>
    </row>
    <row r="547" ht="13.5" customHeight="1">
      <c r="A547" s="67"/>
      <c r="D547" s="67"/>
    </row>
    <row r="548" ht="13.5" customHeight="1">
      <c r="A548" s="67"/>
      <c r="D548" s="67"/>
    </row>
    <row r="549" ht="13.5" customHeight="1">
      <c r="A549" s="67"/>
      <c r="D549" s="67"/>
    </row>
    <row r="550" ht="13.5" customHeight="1">
      <c r="A550" s="67"/>
      <c r="D550" s="67"/>
    </row>
    <row r="551" ht="13.5" customHeight="1">
      <c r="A551" s="67"/>
      <c r="D551" s="67"/>
    </row>
    <row r="552" ht="13.5" customHeight="1">
      <c r="A552" s="67"/>
      <c r="D552" s="67"/>
    </row>
    <row r="553" ht="13.5" customHeight="1">
      <c r="A553" s="67"/>
      <c r="D553" s="67"/>
    </row>
    <row r="554" ht="13.5" customHeight="1">
      <c r="A554" s="67"/>
      <c r="D554" s="67"/>
    </row>
    <row r="555" ht="13.5" customHeight="1">
      <c r="A555" s="67"/>
      <c r="D555" s="67"/>
    </row>
    <row r="556" ht="13.5" customHeight="1">
      <c r="A556" s="67"/>
      <c r="D556" s="67"/>
    </row>
    <row r="557" ht="13.5" customHeight="1">
      <c r="A557" s="67"/>
      <c r="D557" s="67"/>
    </row>
    <row r="558" ht="13.5" customHeight="1">
      <c r="A558" s="67"/>
      <c r="D558" s="67"/>
    </row>
    <row r="559" ht="13.5" customHeight="1">
      <c r="A559" s="67"/>
      <c r="D559" s="67"/>
    </row>
    <row r="560" ht="13.5" customHeight="1">
      <c r="A560" s="67"/>
      <c r="D560" s="67"/>
    </row>
    <row r="561" ht="13.5" customHeight="1">
      <c r="A561" s="67"/>
      <c r="D561" s="67"/>
    </row>
    <row r="562" ht="13.5" customHeight="1">
      <c r="A562" s="67"/>
      <c r="D562" s="67"/>
    </row>
    <row r="563" ht="13.5" customHeight="1">
      <c r="A563" s="67"/>
      <c r="D563" s="67"/>
    </row>
    <row r="564" ht="13.5" customHeight="1">
      <c r="A564" s="67"/>
      <c r="D564" s="67"/>
    </row>
    <row r="565" ht="13.5" customHeight="1">
      <c r="A565" s="67"/>
      <c r="D565" s="67"/>
    </row>
    <row r="566" ht="13.5" customHeight="1">
      <c r="A566" s="67"/>
      <c r="D566" s="67"/>
    </row>
    <row r="567" ht="13.5" customHeight="1">
      <c r="A567" s="67"/>
      <c r="D567" s="67"/>
    </row>
    <row r="568" ht="13.5" customHeight="1">
      <c r="A568" s="67"/>
      <c r="D568" s="67"/>
    </row>
    <row r="569" ht="13.5" customHeight="1">
      <c r="A569" s="67"/>
      <c r="D569" s="67"/>
    </row>
    <row r="570" ht="13.5" customHeight="1">
      <c r="A570" s="67"/>
      <c r="D570" s="67"/>
    </row>
    <row r="571" ht="13.5" customHeight="1">
      <c r="A571" s="67"/>
      <c r="D571" s="67"/>
    </row>
    <row r="572" ht="13.5" customHeight="1">
      <c r="A572" s="67"/>
      <c r="D572" s="67"/>
    </row>
    <row r="573" ht="13.5" customHeight="1">
      <c r="A573" s="67"/>
      <c r="D573" s="67"/>
    </row>
    <row r="574" ht="13.5" customHeight="1">
      <c r="A574" s="67"/>
      <c r="D574" s="67"/>
    </row>
    <row r="575" ht="13.5" customHeight="1">
      <c r="A575" s="67"/>
      <c r="D575" s="67"/>
    </row>
    <row r="576" ht="13.5" customHeight="1">
      <c r="A576" s="67"/>
      <c r="D576" s="67"/>
    </row>
    <row r="577" ht="13.5" customHeight="1">
      <c r="A577" s="67"/>
      <c r="D577" s="67"/>
    </row>
    <row r="578" ht="13.5" customHeight="1">
      <c r="A578" s="67"/>
      <c r="D578" s="67"/>
    </row>
    <row r="579" ht="13.5" customHeight="1">
      <c r="A579" s="67"/>
      <c r="D579" s="67"/>
    </row>
    <row r="580" ht="13.5" customHeight="1">
      <c r="A580" s="67"/>
      <c r="D580" s="67"/>
    </row>
    <row r="581" ht="13.5" customHeight="1">
      <c r="A581" s="67"/>
      <c r="D581" s="67"/>
    </row>
    <row r="582" ht="13.5" customHeight="1">
      <c r="A582" s="67"/>
      <c r="D582" s="67"/>
    </row>
    <row r="583" ht="13.5" customHeight="1">
      <c r="A583" s="67"/>
      <c r="D583" s="67"/>
    </row>
    <row r="584" ht="13.5" customHeight="1">
      <c r="A584" s="67"/>
      <c r="D584" s="67"/>
    </row>
    <row r="585" ht="13.5" customHeight="1">
      <c r="A585" s="67"/>
      <c r="D585" s="67"/>
    </row>
    <row r="586" ht="13.5" customHeight="1">
      <c r="A586" s="67"/>
      <c r="D586" s="67"/>
    </row>
    <row r="587" ht="13.5" customHeight="1">
      <c r="A587" s="67"/>
      <c r="D587" s="67"/>
    </row>
    <row r="588" ht="13.5" customHeight="1">
      <c r="A588" s="67"/>
      <c r="D588" s="67"/>
    </row>
    <row r="589" ht="13.5" customHeight="1">
      <c r="A589" s="67"/>
      <c r="D589" s="67"/>
    </row>
    <row r="590" ht="13.5" customHeight="1">
      <c r="A590" s="67"/>
      <c r="D590" s="67"/>
    </row>
    <row r="591" ht="13.5" customHeight="1">
      <c r="A591" s="67"/>
      <c r="D591" s="67"/>
    </row>
    <row r="592" ht="13.5" customHeight="1">
      <c r="A592" s="67"/>
      <c r="D592" s="67"/>
    </row>
    <row r="593" ht="13.5" customHeight="1">
      <c r="A593" s="67"/>
      <c r="D593" s="67"/>
    </row>
    <row r="594" ht="13.5" customHeight="1">
      <c r="A594" s="67"/>
      <c r="D594" s="67"/>
    </row>
    <row r="595" ht="13.5" customHeight="1">
      <c r="A595" s="67"/>
      <c r="D595" s="67"/>
    </row>
    <row r="596" ht="13.5" customHeight="1">
      <c r="A596" s="67"/>
      <c r="D596" s="67"/>
    </row>
    <row r="597" ht="13.5" customHeight="1">
      <c r="A597" s="67"/>
      <c r="D597" s="67"/>
    </row>
    <row r="598" ht="13.5" customHeight="1">
      <c r="A598" s="67"/>
      <c r="D598" s="67"/>
    </row>
    <row r="599" ht="13.5" customHeight="1">
      <c r="A599" s="67"/>
      <c r="D599" s="67"/>
    </row>
    <row r="600" ht="13.5" customHeight="1">
      <c r="A600" s="67"/>
      <c r="D600" s="67"/>
    </row>
    <row r="601" ht="13.5" customHeight="1">
      <c r="A601" s="67"/>
      <c r="D601" s="67"/>
    </row>
    <row r="602" ht="13.5" customHeight="1">
      <c r="A602" s="67"/>
      <c r="D602" s="67"/>
    </row>
    <row r="603" ht="13.5" customHeight="1">
      <c r="A603" s="67"/>
      <c r="D603" s="67"/>
    </row>
    <row r="604" ht="13.5" customHeight="1">
      <c r="A604" s="67"/>
      <c r="D604" s="67"/>
    </row>
    <row r="605" ht="13.5" customHeight="1">
      <c r="A605" s="67"/>
      <c r="D605" s="67"/>
    </row>
    <row r="606" ht="13.5" customHeight="1">
      <c r="A606" s="67"/>
      <c r="D606" s="67"/>
    </row>
    <row r="607" ht="13.5" customHeight="1">
      <c r="A607" s="67"/>
      <c r="D607" s="67"/>
    </row>
    <row r="608" ht="13.5" customHeight="1">
      <c r="A608" s="67"/>
      <c r="D608" s="67"/>
    </row>
    <row r="609" ht="13.5" customHeight="1">
      <c r="A609" s="67"/>
      <c r="D609" s="67"/>
    </row>
    <row r="610" ht="13.5" customHeight="1">
      <c r="A610" s="67"/>
      <c r="D610" s="67"/>
    </row>
    <row r="611" ht="13.5" customHeight="1">
      <c r="A611" s="67"/>
      <c r="D611" s="67"/>
    </row>
    <row r="612" ht="13.5" customHeight="1">
      <c r="A612" s="67"/>
      <c r="D612" s="67"/>
    </row>
    <row r="613" ht="13.5" customHeight="1">
      <c r="A613" s="67"/>
      <c r="D613" s="67"/>
    </row>
    <row r="614" ht="13.5" customHeight="1">
      <c r="A614" s="67"/>
      <c r="D614" s="67"/>
    </row>
    <row r="615" ht="13.5" customHeight="1">
      <c r="A615" s="67"/>
      <c r="D615" s="67"/>
    </row>
    <row r="616" ht="13.5" customHeight="1">
      <c r="A616" s="67"/>
      <c r="D616" s="67"/>
    </row>
    <row r="617" ht="13.5" customHeight="1">
      <c r="A617" s="67"/>
      <c r="D617" s="67"/>
    </row>
    <row r="618" ht="13.5" customHeight="1">
      <c r="A618" s="67"/>
      <c r="D618" s="67"/>
    </row>
    <row r="619" ht="13.5" customHeight="1">
      <c r="A619" s="67"/>
      <c r="D619" s="67"/>
    </row>
    <row r="620" ht="13.5" customHeight="1">
      <c r="A620" s="67"/>
      <c r="D620" s="67"/>
    </row>
    <row r="621" ht="13.5" customHeight="1">
      <c r="A621" s="67"/>
      <c r="D621" s="67"/>
    </row>
    <row r="622" ht="13.5" customHeight="1">
      <c r="A622" s="67"/>
      <c r="D622" s="67"/>
    </row>
    <row r="623" ht="13.5" customHeight="1">
      <c r="A623" s="67"/>
      <c r="D623" s="67"/>
    </row>
    <row r="624" ht="13.5" customHeight="1">
      <c r="A624" s="67"/>
      <c r="D624" s="67"/>
    </row>
    <row r="625" ht="13.5" customHeight="1">
      <c r="A625" s="67"/>
      <c r="D625" s="67"/>
    </row>
    <row r="626" ht="13.5" customHeight="1">
      <c r="A626" s="67"/>
      <c r="D626" s="67"/>
    </row>
    <row r="627" ht="13.5" customHeight="1">
      <c r="A627" s="67"/>
      <c r="D627" s="67"/>
    </row>
    <row r="628" ht="13.5" customHeight="1">
      <c r="A628" s="67"/>
      <c r="D628" s="67"/>
    </row>
    <row r="629" ht="13.5" customHeight="1">
      <c r="A629" s="67"/>
      <c r="D629" s="67"/>
    </row>
    <row r="630" ht="13.5" customHeight="1">
      <c r="A630" s="67"/>
      <c r="D630" s="67"/>
    </row>
    <row r="631" ht="13.5" customHeight="1">
      <c r="A631" s="67"/>
      <c r="D631" s="67"/>
    </row>
    <row r="632" ht="13.5" customHeight="1">
      <c r="A632" s="67"/>
      <c r="D632" s="67"/>
    </row>
    <row r="633" ht="13.5" customHeight="1">
      <c r="A633" s="67"/>
      <c r="D633" s="67"/>
    </row>
    <row r="634" ht="13.5" customHeight="1">
      <c r="A634" s="67"/>
      <c r="D634" s="67"/>
    </row>
    <row r="635" ht="13.5" customHeight="1">
      <c r="A635" s="67"/>
      <c r="D635" s="67"/>
    </row>
    <row r="636" ht="13.5" customHeight="1">
      <c r="A636" s="67"/>
      <c r="D636" s="67"/>
    </row>
    <row r="637" ht="13.5" customHeight="1">
      <c r="A637" s="67"/>
      <c r="D637" s="67"/>
    </row>
    <row r="638" ht="13.5" customHeight="1">
      <c r="A638" s="67"/>
      <c r="D638" s="67"/>
    </row>
    <row r="639" ht="13.5" customHeight="1">
      <c r="A639" s="67"/>
      <c r="D639" s="67"/>
    </row>
    <row r="640" ht="13.5" customHeight="1">
      <c r="A640" s="67"/>
      <c r="D640" s="67"/>
    </row>
    <row r="641" ht="13.5" customHeight="1">
      <c r="A641" s="67"/>
      <c r="D641" s="67"/>
    </row>
    <row r="642" ht="13.5" customHeight="1">
      <c r="A642" s="67"/>
      <c r="D642" s="67"/>
    </row>
    <row r="643" ht="13.5" customHeight="1">
      <c r="A643" s="67"/>
      <c r="D643" s="67"/>
    </row>
    <row r="644" ht="13.5" customHeight="1">
      <c r="A644" s="67"/>
      <c r="D644" s="67"/>
    </row>
    <row r="645" ht="13.5" customHeight="1">
      <c r="A645" s="67"/>
      <c r="D645" s="67"/>
    </row>
    <row r="646" ht="13.5" customHeight="1">
      <c r="A646" s="67"/>
      <c r="D646" s="67"/>
    </row>
    <row r="647" ht="13.5" customHeight="1">
      <c r="A647" s="67"/>
      <c r="D647" s="67"/>
    </row>
    <row r="648" ht="13.5" customHeight="1">
      <c r="A648" s="67"/>
      <c r="D648" s="67"/>
    </row>
    <row r="649" ht="13.5" customHeight="1">
      <c r="A649" s="67"/>
      <c r="D649" s="67"/>
    </row>
    <row r="650" ht="13.5" customHeight="1">
      <c r="A650" s="67"/>
      <c r="D650" s="67"/>
    </row>
    <row r="651" ht="13.5" customHeight="1">
      <c r="A651" s="67"/>
      <c r="D651" s="67"/>
    </row>
    <row r="652" ht="13.5" customHeight="1">
      <c r="A652" s="67"/>
      <c r="D652" s="67"/>
    </row>
    <row r="653" ht="13.5" customHeight="1">
      <c r="A653" s="67"/>
      <c r="D653" s="67"/>
    </row>
    <row r="654" ht="13.5" customHeight="1">
      <c r="A654" s="67"/>
      <c r="D654" s="67"/>
    </row>
    <row r="655" ht="13.5" customHeight="1">
      <c r="A655" s="67"/>
      <c r="D655" s="67"/>
    </row>
    <row r="656" ht="13.5" customHeight="1">
      <c r="A656" s="67"/>
      <c r="D656" s="67"/>
    </row>
    <row r="657" ht="13.5" customHeight="1">
      <c r="A657" s="67"/>
      <c r="D657" s="67"/>
    </row>
    <row r="658" ht="13.5" customHeight="1">
      <c r="A658" s="67"/>
      <c r="D658" s="67"/>
    </row>
    <row r="659" ht="13.5" customHeight="1">
      <c r="A659" s="67"/>
      <c r="D659" s="67"/>
    </row>
    <row r="660" ht="13.5" customHeight="1">
      <c r="A660" s="67"/>
      <c r="D660" s="67"/>
    </row>
    <row r="661" ht="13.5" customHeight="1">
      <c r="A661" s="67"/>
      <c r="D661" s="67"/>
    </row>
    <row r="662" ht="13.5" customHeight="1">
      <c r="A662" s="67"/>
      <c r="D662" s="67"/>
    </row>
    <row r="663" ht="13.5" customHeight="1">
      <c r="A663" s="67"/>
      <c r="D663" s="67"/>
    </row>
    <row r="664" ht="13.5" customHeight="1">
      <c r="A664" s="67"/>
      <c r="D664" s="67"/>
    </row>
    <row r="665" ht="13.5" customHeight="1">
      <c r="A665" s="67"/>
      <c r="D665" s="67"/>
    </row>
    <row r="666" ht="13.5" customHeight="1">
      <c r="A666" s="67"/>
      <c r="D666" s="67"/>
    </row>
    <row r="667" ht="13.5" customHeight="1">
      <c r="A667" s="67"/>
      <c r="D667" s="67"/>
    </row>
    <row r="668" ht="13.5" customHeight="1">
      <c r="A668" s="67"/>
      <c r="D668" s="67"/>
    </row>
    <row r="669" ht="13.5" customHeight="1">
      <c r="A669" s="67"/>
      <c r="D669" s="67"/>
    </row>
    <row r="670" ht="13.5" customHeight="1">
      <c r="A670" s="67"/>
      <c r="D670" s="67"/>
    </row>
    <row r="671" ht="13.5" customHeight="1">
      <c r="A671" s="67"/>
      <c r="D671" s="67"/>
    </row>
    <row r="672" ht="13.5" customHeight="1">
      <c r="A672" s="67"/>
      <c r="D672" s="67"/>
    </row>
    <row r="673" ht="13.5" customHeight="1">
      <c r="A673" s="67"/>
      <c r="D673" s="67"/>
    </row>
    <row r="674" ht="13.5" customHeight="1">
      <c r="A674" s="67"/>
      <c r="D674" s="67"/>
    </row>
    <row r="675" ht="13.5" customHeight="1">
      <c r="A675" s="67"/>
      <c r="D675" s="67"/>
    </row>
    <row r="676" ht="13.5" customHeight="1">
      <c r="A676" s="67"/>
      <c r="D676" s="67"/>
    </row>
    <row r="677" ht="13.5" customHeight="1">
      <c r="A677" s="67"/>
      <c r="D677" s="67"/>
    </row>
    <row r="678" ht="13.5" customHeight="1">
      <c r="A678" s="67"/>
      <c r="D678" s="67"/>
    </row>
    <row r="679" ht="13.5" customHeight="1">
      <c r="A679" s="67"/>
      <c r="D679" s="67"/>
    </row>
    <row r="680" ht="13.5" customHeight="1">
      <c r="A680" s="67"/>
      <c r="D680" s="67"/>
    </row>
    <row r="681" ht="13.5" customHeight="1">
      <c r="A681" s="67"/>
      <c r="D681" s="67"/>
    </row>
    <row r="682" ht="13.5" customHeight="1">
      <c r="A682" s="67"/>
      <c r="D682" s="67"/>
    </row>
    <row r="683" ht="13.5" customHeight="1">
      <c r="A683" s="67"/>
      <c r="D683" s="67"/>
    </row>
    <row r="684" ht="13.5" customHeight="1">
      <c r="A684" s="67"/>
      <c r="D684" s="67"/>
    </row>
    <row r="685" ht="13.5" customHeight="1">
      <c r="A685" s="67"/>
      <c r="D685" s="67"/>
    </row>
    <row r="686" ht="13.5" customHeight="1">
      <c r="A686" s="67"/>
      <c r="D686" s="67"/>
    </row>
    <row r="687" ht="13.5" customHeight="1">
      <c r="A687" s="67"/>
      <c r="D687" s="67"/>
    </row>
    <row r="688" ht="13.5" customHeight="1">
      <c r="A688" s="67"/>
      <c r="D688" s="67"/>
    </row>
    <row r="689" ht="13.5" customHeight="1">
      <c r="A689" s="67"/>
      <c r="D689" s="67"/>
    </row>
    <row r="690" ht="13.5" customHeight="1">
      <c r="A690" s="67"/>
      <c r="D690" s="67"/>
    </row>
    <row r="691" ht="13.5" customHeight="1">
      <c r="A691" s="67"/>
      <c r="D691" s="67"/>
    </row>
    <row r="692" ht="13.5" customHeight="1">
      <c r="A692" s="67"/>
      <c r="D692" s="67"/>
    </row>
    <row r="693" ht="13.5" customHeight="1">
      <c r="A693" s="67"/>
      <c r="D693" s="67"/>
    </row>
    <row r="694" ht="13.5" customHeight="1">
      <c r="A694" s="67"/>
      <c r="D694" s="67"/>
    </row>
    <row r="695" ht="13.5" customHeight="1">
      <c r="A695" s="67"/>
      <c r="D695" s="67"/>
    </row>
    <row r="696" ht="13.5" customHeight="1">
      <c r="A696" s="67"/>
      <c r="D696" s="67"/>
    </row>
    <row r="697" ht="13.5" customHeight="1">
      <c r="A697" s="67"/>
      <c r="D697" s="67"/>
    </row>
    <row r="698" ht="13.5" customHeight="1">
      <c r="A698" s="67"/>
      <c r="D698" s="67"/>
    </row>
    <row r="699" ht="13.5" customHeight="1">
      <c r="A699" s="67"/>
      <c r="D699" s="67"/>
    </row>
    <row r="700" ht="13.5" customHeight="1">
      <c r="A700" s="67"/>
      <c r="D700" s="67"/>
    </row>
    <row r="701" ht="13.5" customHeight="1">
      <c r="A701" s="67"/>
      <c r="D701" s="67"/>
    </row>
    <row r="702" ht="13.5" customHeight="1">
      <c r="A702" s="67"/>
      <c r="D702" s="67"/>
    </row>
    <row r="703" ht="13.5" customHeight="1">
      <c r="A703" s="67"/>
      <c r="D703" s="67"/>
    </row>
    <row r="704" ht="13.5" customHeight="1">
      <c r="A704" s="67"/>
      <c r="D704" s="67"/>
    </row>
    <row r="705" ht="13.5" customHeight="1">
      <c r="A705" s="67"/>
      <c r="D705" s="67"/>
    </row>
    <row r="706" ht="13.5" customHeight="1">
      <c r="A706" s="67"/>
      <c r="D706" s="67"/>
    </row>
    <row r="707" ht="13.5" customHeight="1">
      <c r="A707" s="67"/>
      <c r="D707" s="67"/>
    </row>
    <row r="708" ht="13.5" customHeight="1">
      <c r="A708" s="67"/>
      <c r="D708" s="67"/>
    </row>
    <row r="709" ht="13.5" customHeight="1">
      <c r="A709" s="67"/>
      <c r="D709" s="67"/>
    </row>
    <row r="710" ht="13.5" customHeight="1">
      <c r="A710" s="67"/>
      <c r="D710" s="67"/>
    </row>
    <row r="711" ht="13.5" customHeight="1">
      <c r="A711" s="67"/>
      <c r="D711" s="67"/>
    </row>
    <row r="712" ht="13.5" customHeight="1">
      <c r="A712" s="67"/>
      <c r="D712" s="67"/>
    </row>
    <row r="713" ht="13.5" customHeight="1">
      <c r="A713" s="67"/>
      <c r="D713" s="67"/>
    </row>
    <row r="714" ht="13.5" customHeight="1">
      <c r="A714" s="67"/>
      <c r="D714" s="67"/>
    </row>
    <row r="715" ht="13.5" customHeight="1">
      <c r="A715" s="67"/>
      <c r="D715" s="67"/>
    </row>
    <row r="716" ht="13.5" customHeight="1">
      <c r="A716" s="67"/>
      <c r="D716" s="67"/>
    </row>
    <row r="717" ht="13.5" customHeight="1">
      <c r="A717" s="67"/>
      <c r="D717" s="67"/>
    </row>
    <row r="718" ht="13.5" customHeight="1">
      <c r="A718" s="67"/>
      <c r="D718" s="67"/>
    </row>
    <row r="719" ht="13.5" customHeight="1">
      <c r="A719" s="67"/>
      <c r="D719" s="67"/>
    </row>
    <row r="720" ht="13.5" customHeight="1">
      <c r="A720" s="67"/>
      <c r="D720" s="67"/>
    </row>
    <row r="721" ht="13.5" customHeight="1">
      <c r="A721" s="67"/>
      <c r="D721" s="67"/>
    </row>
    <row r="722" ht="13.5" customHeight="1">
      <c r="A722" s="67"/>
      <c r="D722" s="67"/>
    </row>
    <row r="723" ht="13.5" customHeight="1">
      <c r="A723" s="67"/>
      <c r="D723" s="67"/>
    </row>
    <row r="724" ht="13.5" customHeight="1">
      <c r="A724" s="67"/>
      <c r="D724" s="67"/>
    </row>
    <row r="725" ht="13.5" customHeight="1">
      <c r="A725" s="67"/>
      <c r="D725" s="67"/>
    </row>
    <row r="726" ht="13.5" customHeight="1">
      <c r="A726" s="67"/>
      <c r="D726" s="67"/>
    </row>
    <row r="727" ht="13.5" customHeight="1">
      <c r="A727" s="67"/>
      <c r="D727" s="67"/>
    </row>
    <row r="728" ht="13.5" customHeight="1">
      <c r="A728" s="67"/>
      <c r="D728" s="67"/>
    </row>
    <row r="729" ht="13.5" customHeight="1">
      <c r="A729" s="67"/>
      <c r="D729" s="67"/>
    </row>
    <row r="730" ht="13.5" customHeight="1">
      <c r="A730" s="67"/>
      <c r="D730" s="67"/>
    </row>
    <row r="731" ht="13.5" customHeight="1">
      <c r="A731" s="67"/>
      <c r="D731" s="67"/>
    </row>
    <row r="732" ht="13.5" customHeight="1">
      <c r="A732" s="67"/>
      <c r="D732" s="67"/>
    </row>
    <row r="733" ht="13.5" customHeight="1">
      <c r="A733" s="67"/>
      <c r="D733" s="67"/>
    </row>
    <row r="734" ht="13.5" customHeight="1">
      <c r="A734" s="67"/>
      <c r="D734" s="67"/>
    </row>
    <row r="735" ht="13.5" customHeight="1">
      <c r="A735" s="67"/>
      <c r="D735" s="67"/>
    </row>
    <row r="736" ht="13.5" customHeight="1">
      <c r="A736" s="67"/>
      <c r="D736" s="67"/>
    </row>
    <row r="737" ht="13.5" customHeight="1">
      <c r="A737" s="67"/>
      <c r="D737" s="67"/>
    </row>
    <row r="738" ht="13.5" customHeight="1">
      <c r="A738" s="67"/>
      <c r="D738" s="67"/>
    </row>
    <row r="739" ht="13.5" customHeight="1">
      <c r="A739" s="67"/>
      <c r="D739" s="67"/>
    </row>
    <row r="740" ht="13.5" customHeight="1">
      <c r="A740" s="67"/>
      <c r="D740" s="67"/>
    </row>
    <row r="741" ht="13.5" customHeight="1">
      <c r="A741" s="67"/>
      <c r="D741" s="67"/>
    </row>
    <row r="742" ht="13.5" customHeight="1">
      <c r="A742" s="67"/>
      <c r="D742" s="67"/>
    </row>
    <row r="743" ht="13.5" customHeight="1">
      <c r="A743" s="67"/>
      <c r="D743" s="67"/>
    </row>
    <row r="744" ht="13.5" customHeight="1">
      <c r="A744" s="67"/>
      <c r="D744" s="67"/>
    </row>
    <row r="745" ht="13.5" customHeight="1">
      <c r="A745" s="67"/>
      <c r="D745" s="67"/>
    </row>
    <row r="746" ht="13.5" customHeight="1">
      <c r="A746" s="67"/>
      <c r="D746" s="67"/>
    </row>
    <row r="747" ht="13.5" customHeight="1">
      <c r="A747" s="67"/>
      <c r="D747" s="67"/>
    </row>
    <row r="748" ht="13.5" customHeight="1">
      <c r="A748" s="67"/>
      <c r="D748" s="67"/>
    </row>
    <row r="749" ht="13.5" customHeight="1">
      <c r="A749" s="67"/>
      <c r="D749" s="67"/>
    </row>
    <row r="750" ht="13.5" customHeight="1">
      <c r="A750" s="67"/>
      <c r="D750" s="67"/>
    </row>
    <row r="751" ht="13.5" customHeight="1">
      <c r="A751" s="67"/>
      <c r="D751" s="67"/>
    </row>
    <row r="752" ht="13.5" customHeight="1">
      <c r="A752" s="67"/>
      <c r="D752" s="67"/>
    </row>
    <row r="753" ht="13.5" customHeight="1">
      <c r="A753" s="67"/>
      <c r="D753" s="67"/>
    </row>
    <row r="754" ht="13.5" customHeight="1">
      <c r="A754" s="67"/>
      <c r="D754" s="67"/>
    </row>
    <row r="755" ht="13.5" customHeight="1">
      <c r="A755" s="67"/>
      <c r="D755" s="67"/>
    </row>
    <row r="756" ht="13.5" customHeight="1">
      <c r="A756" s="67"/>
      <c r="D756" s="67"/>
    </row>
    <row r="757" ht="13.5" customHeight="1">
      <c r="A757" s="67"/>
      <c r="D757" s="67"/>
    </row>
    <row r="758" ht="13.5" customHeight="1">
      <c r="A758" s="67"/>
      <c r="D758" s="67"/>
    </row>
    <row r="759" ht="13.5" customHeight="1">
      <c r="A759" s="67"/>
      <c r="D759" s="67"/>
    </row>
    <row r="760" ht="13.5" customHeight="1">
      <c r="A760" s="67"/>
      <c r="D760" s="67"/>
    </row>
    <row r="761" ht="13.5" customHeight="1">
      <c r="A761" s="67"/>
      <c r="D761" s="67"/>
    </row>
    <row r="762" ht="13.5" customHeight="1">
      <c r="A762" s="67"/>
      <c r="D762" s="67"/>
    </row>
    <row r="763" ht="13.5" customHeight="1">
      <c r="A763" s="67"/>
      <c r="D763" s="67"/>
    </row>
    <row r="764" ht="13.5" customHeight="1">
      <c r="A764" s="67"/>
      <c r="D764" s="67"/>
    </row>
    <row r="765" ht="13.5" customHeight="1">
      <c r="A765" s="67"/>
      <c r="D765" s="67"/>
    </row>
    <row r="766" ht="13.5" customHeight="1">
      <c r="A766" s="67"/>
      <c r="D766" s="67"/>
    </row>
    <row r="767" ht="13.5" customHeight="1">
      <c r="A767" s="67"/>
      <c r="D767" s="67"/>
    </row>
    <row r="768" ht="13.5" customHeight="1">
      <c r="A768" s="67"/>
      <c r="D768" s="67"/>
    </row>
    <row r="769" ht="13.5" customHeight="1">
      <c r="A769" s="67"/>
      <c r="D769" s="67"/>
    </row>
    <row r="770" ht="13.5" customHeight="1">
      <c r="A770" s="67"/>
      <c r="D770" s="67"/>
    </row>
    <row r="771" ht="13.5" customHeight="1">
      <c r="A771" s="67"/>
      <c r="D771" s="67"/>
    </row>
    <row r="772" ht="13.5" customHeight="1">
      <c r="A772" s="67"/>
      <c r="D772" s="67"/>
    </row>
    <row r="773" ht="13.5" customHeight="1">
      <c r="A773" s="67"/>
      <c r="D773" s="67"/>
    </row>
    <row r="774" ht="13.5" customHeight="1">
      <c r="A774" s="67"/>
      <c r="D774" s="67"/>
    </row>
    <row r="775" ht="13.5" customHeight="1">
      <c r="A775" s="67"/>
      <c r="D775" s="67"/>
    </row>
    <row r="776" ht="13.5" customHeight="1">
      <c r="A776" s="67"/>
      <c r="D776" s="67"/>
    </row>
    <row r="777" ht="13.5" customHeight="1">
      <c r="A777" s="67"/>
      <c r="D777" s="67"/>
    </row>
    <row r="778" ht="13.5" customHeight="1">
      <c r="A778" s="67"/>
      <c r="D778" s="67"/>
    </row>
    <row r="779" ht="13.5" customHeight="1">
      <c r="A779" s="67"/>
      <c r="D779" s="67"/>
    </row>
    <row r="780" ht="13.5" customHeight="1">
      <c r="A780" s="67"/>
      <c r="D780" s="67"/>
    </row>
    <row r="781" ht="13.5" customHeight="1">
      <c r="A781" s="67"/>
      <c r="D781" s="67"/>
    </row>
    <row r="782" ht="13.5" customHeight="1">
      <c r="A782" s="67"/>
      <c r="D782" s="67"/>
    </row>
    <row r="783" ht="13.5" customHeight="1">
      <c r="A783" s="67"/>
      <c r="D783" s="67"/>
    </row>
    <row r="784" ht="13.5" customHeight="1">
      <c r="A784" s="67"/>
      <c r="D784" s="67"/>
    </row>
    <row r="785" ht="13.5" customHeight="1">
      <c r="A785" s="67"/>
      <c r="D785" s="67"/>
    </row>
    <row r="786" ht="13.5" customHeight="1">
      <c r="A786" s="67"/>
      <c r="D786" s="67"/>
    </row>
    <row r="787" ht="13.5" customHeight="1">
      <c r="A787" s="67"/>
      <c r="D787" s="67"/>
    </row>
    <row r="788" ht="13.5" customHeight="1">
      <c r="A788" s="67"/>
      <c r="D788" s="67"/>
    </row>
    <row r="789" ht="13.5" customHeight="1">
      <c r="A789" s="67"/>
      <c r="D789" s="67"/>
    </row>
    <row r="790" ht="13.5" customHeight="1">
      <c r="A790" s="67"/>
      <c r="D790" s="67"/>
    </row>
    <row r="791" ht="13.5" customHeight="1">
      <c r="A791" s="67"/>
      <c r="D791" s="67"/>
    </row>
    <row r="792" ht="13.5" customHeight="1">
      <c r="A792" s="67"/>
      <c r="D792" s="67"/>
    </row>
    <row r="793" ht="13.5" customHeight="1">
      <c r="A793" s="67"/>
      <c r="D793" s="67"/>
    </row>
    <row r="794" ht="13.5" customHeight="1">
      <c r="A794" s="67"/>
      <c r="D794" s="67"/>
    </row>
    <row r="795" ht="13.5" customHeight="1">
      <c r="A795" s="67"/>
      <c r="D795" s="67"/>
    </row>
    <row r="796" ht="13.5" customHeight="1">
      <c r="A796" s="67"/>
      <c r="D796" s="67"/>
    </row>
    <row r="797" ht="13.5" customHeight="1">
      <c r="A797" s="67"/>
      <c r="D797" s="67"/>
    </row>
    <row r="798" ht="13.5" customHeight="1">
      <c r="A798" s="67"/>
      <c r="D798" s="67"/>
    </row>
    <row r="799" ht="13.5" customHeight="1">
      <c r="A799" s="67"/>
      <c r="D799" s="67"/>
    </row>
    <row r="800" ht="13.5" customHeight="1">
      <c r="A800" s="67"/>
      <c r="D800" s="67"/>
    </row>
    <row r="801" ht="13.5" customHeight="1">
      <c r="A801" s="67"/>
      <c r="D801" s="67"/>
    </row>
    <row r="802" ht="13.5" customHeight="1">
      <c r="A802" s="67"/>
      <c r="D802" s="67"/>
    </row>
    <row r="803" ht="13.5" customHeight="1">
      <c r="A803" s="67"/>
      <c r="D803" s="67"/>
    </row>
    <row r="804" ht="13.5" customHeight="1">
      <c r="A804" s="67"/>
      <c r="D804" s="67"/>
    </row>
    <row r="805" ht="13.5" customHeight="1">
      <c r="A805" s="67"/>
      <c r="D805" s="67"/>
    </row>
    <row r="806" ht="13.5" customHeight="1">
      <c r="A806" s="67"/>
      <c r="D806" s="67"/>
    </row>
    <row r="807" ht="13.5" customHeight="1">
      <c r="A807" s="67"/>
      <c r="D807" s="67"/>
    </row>
    <row r="808" ht="13.5" customHeight="1">
      <c r="A808" s="67"/>
      <c r="D808" s="67"/>
    </row>
    <row r="809" ht="13.5" customHeight="1">
      <c r="A809" s="67"/>
      <c r="D809" s="67"/>
    </row>
    <row r="810" ht="13.5" customHeight="1">
      <c r="A810" s="67"/>
      <c r="D810" s="67"/>
    </row>
    <row r="811" ht="13.5" customHeight="1">
      <c r="A811" s="67"/>
      <c r="D811" s="67"/>
    </row>
    <row r="812" ht="13.5" customHeight="1">
      <c r="A812" s="67"/>
      <c r="D812" s="67"/>
    </row>
    <row r="813" ht="13.5" customHeight="1">
      <c r="A813" s="67"/>
      <c r="D813" s="67"/>
    </row>
    <row r="814" ht="13.5" customHeight="1">
      <c r="A814" s="67"/>
      <c r="D814" s="67"/>
    </row>
    <row r="815" ht="13.5" customHeight="1">
      <c r="A815" s="67"/>
      <c r="D815" s="67"/>
    </row>
    <row r="816" ht="13.5" customHeight="1">
      <c r="A816" s="67"/>
      <c r="D816" s="67"/>
    </row>
    <row r="817" ht="13.5" customHeight="1">
      <c r="A817" s="67"/>
      <c r="D817" s="67"/>
    </row>
    <row r="818" ht="13.5" customHeight="1">
      <c r="A818" s="67"/>
      <c r="D818" s="67"/>
    </row>
    <row r="819" ht="13.5" customHeight="1">
      <c r="A819" s="67"/>
      <c r="D819" s="67"/>
    </row>
    <row r="820" ht="13.5" customHeight="1">
      <c r="A820" s="67"/>
      <c r="D820" s="67"/>
    </row>
    <row r="821" ht="13.5" customHeight="1">
      <c r="A821" s="67"/>
      <c r="D821" s="67"/>
    </row>
    <row r="822" ht="13.5" customHeight="1">
      <c r="A822" s="67"/>
      <c r="D822" s="67"/>
    </row>
    <row r="823" ht="13.5" customHeight="1">
      <c r="A823" s="67"/>
      <c r="D823" s="67"/>
    </row>
    <row r="824" ht="13.5" customHeight="1">
      <c r="A824" s="67"/>
      <c r="D824" s="67"/>
    </row>
    <row r="825" ht="13.5" customHeight="1">
      <c r="A825" s="67"/>
      <c r="D825" s="67"/>
    </row>
    <row r="826" ht="13.5" customHeight="1">
      <c r="A826" s="67"/>
      <c r="D826" s="67"/>
    </row>
    <row r="827" ht="13.5" customHeight="1">
      <c r="A827" s="67"/>
      <c r="D827" s="67"/>
    </row>
    <row r="828" ht="13.5" customHeight="1">
      <c r="A828" s="67"/>
      <c r="D828" s="67"/>
    </row>
    <row r="829" ht="13.5" customHeight="1">
      <c r="A829" s="67"/>
      <c r="D829" s="67"/>
    </row>
    <row r="830" ht="13.5" customHeight="1">
      <c r="A830" s="67"/>
      <c r="D830" s="67"/>
    </row>
    <row r="831" ht="13.5" customHeight="1">
      <c r="A831" s="67"/>
      <c r="D831" s="67"/>
    </row>
    <row r="832" ht="13.5" customHeight="1">
      <c r="A832" s="67"/>
      <c r="D832" s="67"/>
    </row>
    <row r="833" ht="13.5" customHeight="1">
      <c r="A833" s="67"/>
      <c r="D833" s="67"/>
    </row>
    <row r="834" ht="13.5" customHeight="1">
      <c r="A834" s="67"/>
      <c r="D834" s="67"/>
    </row>
    <row r="835" ht="13.5" customHeight="1">
      <c r="A835" s="67"/>
      <c r="D835" s="67"/>
    </row>
    <row r="836" ht="13.5" customHeight="1">
      <c r="A836" s="67"/>
      <c r="D836" s="67"/>
    </row>
    <row r="837" ht="13.5" customHeight="1">
      <c r="A837" s="67"/>
      <c r="D837" s="67"/>
    </row>
    <row r="838" ht="13.5" customHeight="1">
      <c r="A838" s="67"/>
      <c r="D838" s="67"/>
    </row>
    <row r="839" ht="13.5" customHeight="1">
      <c r="A839" s="67"/>
      <c r="D839" s="67"/>
    </row>
    <row r="840" ht="13.5" customHeight="1">
      <c r="A840" s="67"/>
      <c r="D840" s="67"/>
    </row>
    <row r="841" ht="13.5" customHeight="1">
      <c r="A841" s="67"/>
      <c r="D841" s="67"/>
    </row>
    <row r="842" ht="13.5" customHeight="1">
      <c r="A842" s="67"/>
      <c r="D842" s="67"/>
    </row>
    <row r="843" ht="13.5" customHeight="1">
      <c r="A843" s="67"/>
      <c r="D843" s="67"/>
    </row>
    <row r="844" ht="13.5" customHeight="1">
      <c r="A844" s="67"/>
      <c r="D844" s="67"/>
    </row>
    <row r="845" ht="13.5" customHeight="1">
      <c r="A845" s="67"/>
      <c r="D845" s="67"/>
    </row>
    <row r="846" ht="13.5" customHeight="1">
      <c r="A846" s="67"/>
      <c r="D846" s="67"/>
    </row>
    <row r="847" ht="13.5" customHeight="1">
      <c r="A847" s="67"/>
      <c r="D847" s="67"/>
    </row>
    <row r="848" ht="13.5" customHeight="1">
      <c r="A848" s="67"/>
      <c r="D848" s="67"/>
    </row>
    <row r="849" ht="13.5" customHeight="1">
      <c r="A849" s="67"/>
      <c r="D849" s="67"/>
    </row>
    <row r="850" ht="13.5" customHeight="1">
      <c r="A850" s="67"/>
      <c r="D850" s="67"/>
    </row>
    <row r="851" ht="13.5" customHeight="1">
      <c r="A851" s="67"/>
      <c r="D851" s="67"/>
    </row>
    <row r="852" ht="13.5" customHeight="1">
      <c r="A852" s="67"/>
      <c r="D852" s="67"/>
    </row>
    <row r="853" ht="13.5" customHeight="1">
      <c r="A853" s="67"/>
      <c r="D853" s="67"/>
    </row>
    <row r="854" ht="13.5" customHeight="1">
      <c r="A854" s="67"/>
      <c r="D854" s="67"/>
    </row>
    <row r="855" ht="13.5" customHeight="1">
      <c r="A855" s="67"/>
      <c r="D855" s="67"/>
    </row>
    <row r="856" ht="13.5" customHeight="1">
      <c r="A856" s="67"/>
      <c r="D856" s="67"/>
    </row>
    <row r="857" ht="13.5" customHeight="1">
      <c r="A857" s="67"/>
      <c r="D857" s="67"/>
    </row>
    <row r="858" ht="13.5" customHeight="1">
      <c r="A858" s="67"/>
      <c r="D858" s="67"/>
    </row>
    <row r="859" ht="13.5" customHeight="1">
      <c r="A859" s="67"/>
      <c r="D859" s="67"/>
    </row>
    <row r="860" ht="13.5" customHeight="1">
      <c r="A860" s="67"/>
      <c r="D860" s="67"/>
    </row>
    <row r="861" ht="13.5" customHeight="1">
      <c r="A861" s="67"/>
      <c r="D861" s="67"/>
    </row>
    <row r="862" ht="13.5" customHeight="1">
      <c r="A862" s="67"/>
      <c r="D862" s="67"/>
    </row>
    <row r="863" ht="13.5" customHeight="1">
      <c r="A863" s="67"/>
      <c r="D863" s="67"/>
    </row>
    <row r="864" ht="13.5" customHeight="1">
      <c r="A864" s="67"/>
      <c r="D864" s="67"/>
    </row>
    <row r="865" ht="13.5" customHeight="1">
      <c r="A865" s="67"/>
      <c r="D865" s="67"/>
    </row>
    <row r="866" ht="13.5" customHeight="1">
      <c r="A866" s="67"/>
      <c r="D866" s="67"/>
    </row>
    <row r="867" ht="13.5" customHeight="1">
      <c r="A867" s="67"/>
      <c r="D867" s="67"/>
    </row>
    <row r="868" ht="13.5" customHeight="1">
      <c r="A868" s="67"/>
      <c r="D868" s="67"/>
    </row>
    <row r="869" ht="13.5" customHeight="1">
      <c r="A869" s="67"/>
      <c r="D869" s="67"/>
    </row>
    <row r="870" ht="13.5" customHeight="1">
      <c r="A870" s="67"/>
      <c r="D870" s="67"/>
    </row>
    <row r="871" ht="13.5" customHeight="1">
      <c r="A871" s="67"/>
      <c r="D871" s="67"/>
    </row>
    <row r="872" ht="13.5" customHeight="1">
      <c r="A872" s="67"/>
      <c r="D872" s="67"/>
    </row>
    <row r="873" ht="13.5" customHeight="1">
      <c r="A873" s="67"/>
      <c r="D873" s="67"/>
    </row>
    <row r="874" ht="13.5" customHeight="1">
      <c r="A874" s="67"/>
      <c r="D874" s="67"/>
    </row>
    <row r="875" ht="13.5" customHeight="1">
      <c r="A875" s="67"/>
      <c r="D875" s="67"/>
    </row>
    <row r="876" ht="13.5" customHeight="1">
      <c r="A876" s="67"/>
      <c r="D876" s="67"/>
    </row>
    <row r="877" ht="13.5" customHeight="1">
      <c r="A877" s="67"/>
      <c r="D877" s="67"/>
    </row>
    <row r="878" ht="13.5" customHeight="1">
      <c r="A878" s="67"/>
      <c r="D878" s="67"/>
    </row>
    <row r="879" ht="13.5" customHeight="1">
      <c r="A879" s="67"/>
      <c r="D879" s="67"/>
    </row>
    <row r="880" ht="13.5" customHeight="1">
      <c r="A880" s="67"/>
      <c r="D880" s="67"/>
    </row>
    <row r="881" ht="13.5" customHeight="1">
      <c r="A881" s="67"/>
      <c r="D881" s="67"/>
    </row>
    <row r="882" ht="13.5" customHeight="1">
      <c r="A882" s="67"/>
      <c r="D882" s="67"/>
    </row>
    <row r="883" ht="13.5" customHeight="1">
      <c r="A883" s="67"/>
      <c r="D883" s="67"/>
    </row>
    <row r="884" ht="13.5" customHeight="1">
      <c r="A884" s="67"/>
      <c r="D884" s="67"/>
    </row>
    <row r="885" ht="13.5" customHeight="1">
      <c r="A885" s="67"/>
      <c r="D885" s="67"/>
    </row>
    <row r="886" ht="13.5" customHeight="1">
      <c r="A886" s="67"/>
      <c r="D886" s="67"/>
    </row>
    <row r="887" ht="13.5" customHeight="1">
      <c r="A887" s="67"/>
      <c r="D887" s="67"/>
    </row>
    <row r="888" ht="13.5" customHeight="1">
      <c r="A888" s="67"/>
      <c r="D888" s="67"/>
    </row>
    <row r="889" ht="13.5" customHeight="1">
      <c r="A889" s="67"/>
      <c r="D889" s="67"/>
    </row>
    <row r="890" ht="13.5" customHeight="1">
      <c r="A890" s="67"/>
      <c r="D890" s="67"/>
    </row>
    <row r="891" ht="13.5" customHeight="1">
      <c r="A891" s="67"/>
      <c r="D891" s="67"/>
    </row>
    <row r="892" ht="13.5" customHeight="1">
      <c r="A892" s="67"/>
      <c r="D892" s="67"/>
    </row>
    <row r="893" ht="13.5" customHeight="1">
      <c r="A893" s="67"/>
      <c r="D893" s="67"/>
    </row>
    <row r="894" ht="13.5" customHeight="1">
      <c r="A894" s="67"/>
      <c r="D894" s="67"/>
    </row>
    <row r="895" ht="13.5" customHeight="1">
      <c r="A895" s="67"/>
      <c r="D895" s="67"/>
    </row>
    <row r="896" ht="13.5" customHeight="1">
      <c r="A896" s="67"/>
      <c r="D896" s="67"/>
    </row>
    <row r="897" ht="13.5" customHeight="1">
      <c r="A897" s="67"/>
      <c r="D897" s="67"/>
    </row>
    <row r="898" ht="13.5" customHeight="1">
      <c r="A898" s="67"/>
      <c r="D898" s="67"/>
    </row>
    <row r="899" ht="13.5" customHeight="1">
      <c r="A899" s="67"/>
      <c r="D899" s="67"/>
    </row>
    <row r="900" ht="13.5" customHeight="1">
      <c r="A900" s="67"/>
      <c r="D900" s="67"/>
    </row>
    <row r="901" ht="13.5" customHeight="1">
      <c r="A901" s="67"/>
      <c r="D901" s="67"/>
    </row>
    <row r="902" ht="13.5" customHeight="1">
      <c r="A902" s="67"/>
      <c r="D902" s="67"/>
    </row>
    <row r="903" ht="13.5" customHeight="1">
      <c r="A903" s="67"/>
      <c r="D903" s="67"/>
    </row>
    <row r="904" ht="13.5" customHeight="1">
      <c r="A904" s="67"/>
      <c r="D904" s="67"/>
    </row>
    <row r="905" ht="13.5" customHeight="1">
      <c r="A905" s="67"/>
      <c r="D905" s="67"/>
    </row>
    <row r="906" ht="13.5" customHeight="1">
      <c r="A906" s="67"/>
      <c r="D906" s="67"/>
    </row>
    <row r="907" ht="13.5" customHeight="1">
      <c r="A907" s="67"/>
      <c r="D907" s="67"/>
    </row>
    <row r="908" ht="13.5" customHeight="1">
      <c r="A908" s="67"/>
      <c r="D908" s="67"/>
    </row>
    <row r="909" ht="13.5" customHeight="1">
      <c r="A909" s="67"/>
      <c r="D909" s="67"/>
    </row>
    <row r="910" ht="13.5" customHeight="1">
      <c r="A910" s="67"/>
      <c r="D910" s="67"/>
    </row>
    <row r="911" ht="13.5" customHeight="1">
      <c r="A911" s="67"/>
      <c r="D911" s="67"/>
    </row>
    <row r="912" ht="13.5" customHeight="1">
      <c r="A912" s="67"/>
      <c r="D912" s="67"/>
    </row>
    <row r="913" ht="13.5" customHeight="1">
      <c r="A913" s="67"/>
      <c r="D913" s="67"/>
    </row>
    <row r="914" ht="13.5" customHeight="1">
      <c r="A914" s="67"/>
      <c r="D914" s="67"/>
    </row>
    <row r="915" ht="13.5" customHeight="1">
      <c r="A915" s="67"/>
      <c r="D915" s="67"/>
    </row>
    <row r="916" ht="13.5" customHeight="1">
      <c r="A916" s="67"/>
      <c r="D916" s="67"/>
    </row>
    <row r="917" ht="13.5" customHeight="1">
      <c r="A917" s="67"/>
      <c r="D917" s="67"/>
    </row>
    <row r="918" ht="13.5" customHeight="1">
      <c r="A918" s="67"/>
      <c r="D918" s="67"/>
    </row>
    <row r="919" ht="13.5" customHeight="1">
      <c r="A919" s="67"/>
      <c r="D919" s="67"/>
    </row>
    <row r="920" ht="13.5" customHeight="1">
      <c r="A920" s="67"/>
      <c r="D920" s="67"/>
    </row>
    <row r="921" ht="13.5" customHeight="1">
      <c r="A921" s="67"/>
      <c r="D921" s="67"/>
    </row>
    <row r="922" ht="13.5" customHeight="1">
      <c r="A922" s="67"/>
      <c r="D922" s="67"/>
    </row>
    <row r="923" ht="13.5" customHeight="1">
      <c r="A923" s="67"/>
      <c r="D923" s="67"/>
    </row>
    <row r="924" ht="13.5" customHeight="1">
      <c r="A924" s="67"/>
      <c r="D924" s="67"/>
    </row>
    <row r="925" ht="13.5" customHeight="1">
      <c r="A925" s="67"/>
      <c r="D925" s="67"/>
    </row>
    <row r="926" ht="13.5" customHeight="1">
      <c r="A926" s="67"/>
      <c r="D926" s="67"/>
    </row>
    <row r="927" ht="13.5" customHeight="1">
      <c r="A927" s="67"/>
      <c r="D927" s="67"/>
    </row>
    <row r="928" ht="13.5" customHeight="1">
      <c r="A928" s="67"/>
      <c r="D928" s="67"/>
    </row>
    <row r="929" ht="13.5" customHeight="1">
      <c r="A929" s="67"/>
      <c r="D929" s="67"/>
    </row>
    <row r="930" ht="13.5" customHeight="1">
      <c r="A930" s="67"/>
      <c r="D930" s="67"/>
    </row>
    <row r="931" ht="13.5" customHeight="1">
      <c r="A931" s="67"/>
      <c r="D931" s="67"/>
    </row>
    <row r="932" ht="13.5" customHeight="1">
      <c r="A932" s="67"/>
      <c r="D932" s="67"/>
    </row>
    <row r="933" ht="13.5" customHeight="1">
      <c r="A933" s="67"/>
      <c r="D933" s="67"/>
    </row>
    <row r="934" ht="13.5" customHeight="1">
      <c r="A934" s="67"/>
      <c r="D934" s="67"/>
    </row>
    <row r="935" ht="13.5" customHeight="1">
      <c r="A935" s="67"/>
      <c r="D935" s="67"/>
    </row>
    <row r="936" ht="13.5" customHeight="1">
      <c r="A936" s="67"/>
      <c r="D936" s="67"/>
    </row>
    <row r="937" ht="13.5" customHeight="1">
      <c r="A937" s="67"/>
      <c r="D937" s="67"/>
    </row>
    <row r="938" ht="13.5" customHeight="1">
      <c r="A938" s="67"/>
      <c r="D938" s="67"/>
    </row>
    <row r="939" ht="13.5" customHeight="1">
      <c r="A939" s="67"/>
      <c r="D939" s="67"/>
    </row>
    <row r="940" ht="13.5" customHeight="1">
      <c r="A940" s="67"/>
      <c r="D940" s="67"/>
    </row>
    <row r="941" ht="13.5" customHeight="1">
      <c r="A941" s="67"/>
      <c r="D941" s="67"/>
    </row>
    <row r="942" ht="13.5" customHeight="1">
      <c r="A942" s="67"/>
      <c r="D942" s="67"/>
    </row>
    <row r="943" ht="13.5" customHeight="1">
      <c r="A943" s="67"/>
      <c r="D943" s="67"/>
    </row>
    <row r="944" ht="13.5" customHeight="1">
      <c r="A944" s="67"/>
      <c r="D944" s="67"/>
    </row>
    <row r="945" ht="13.5" customHeight="1">
      <c r="A945" s="67"/>
      <c r="D945" s="67"/>
    </row>
    <row r="946" ht="13.5" customHeight="1">
      <c r="A946" s="67"/>
      <c r="D946" s="67"/>
    </row>
    <row r="947" ht="13.5" customHeight="1">
      <c r="A947" s="67"/>
      <c r="D947" s="67"/>
    </row>
    <row r="948" ht="13.5" customHeight="1">
      <c r="A948" s="67"/>
      <c r="D948" s="67"/>
    </row>
    <row r="949" ht="13.5" customHeight="1">
      <c r="A949" s="67"/>
      <c r="D949" s="67"/>
    </row>
    <row r="950" ht="13.5" customHeight="1">
      <c r="A950" s="67"/>
      <c r="D950" s="67"/>
    </row>
    <row r="951" ht="13.5" customHeight="1">
      <c r="A951" s="67"/>
      <c r="D951" s="67"/>
    </row>
    <row r="952" ht="13.5" customHeight="1">
      <c r="A952" s="67"/>
      <c r="D952" s="67"/>
    </row>
    <row r="953" ht="13.5" customHeight="1">
      <c r="A953" s="67"/>
      <c r="D953" s="67"/>
    </row>
    <row r="954" ht="13.5" customHeight="1">
      <c r="A954" s="67"/>
      <c r="D954" s="67"/>
    </row>
    <row r="955" ht="13.5" customHeight="1">
      <c r="A955" s="67"/>
      <c r="D955" s="67"/>
    </row>
    <row r="956" ht="13.5" customHeight="1">
      <c r="A956" s="67"/>
      <c r="D956" s="67"/>
    </row>
    <row r="957" ht="13.5" customHeight="1">
      <c r="A957" s="67"/>
      <c r="D957" s="67"/>
    </row>
    <row r="958" ht="13.5" customHeight="1">
      <c r="A958" s="67"/>
      <c r="D958" s="67"/>
    </row>
    <row r="959" ht="13.5" customHeight="1">
      <c r="A959" s="67"/>
      <c r="D959" s="67"/>
    </row>
    <row r="960" ht="13.5" customHeight="1">
      <c r="A960" s="67"/>
      <c r="D960" s="67"/>
    </row>
    <row r="961" ht="13.5" customHeight="1">
      <c r="A961" s="67"/>
      <c r="D961" s="67"/>
    </row>
    <row r="962" ht="13.5" customHeight="1">
      <c r="A962" s="67"/>
      <c r="D962" s="67"/>
    </row>
    <row r="963" ht="13.5" customHeight="1">
      <c r="A963" s="67"/>
      <c r="D963" s="67"/>
    </row>
    <row r="964" ht="13.5" customHeight="1">
      <c r="A964" s="67"/>
      <c r="D964" s="67"/>
    </row>
    <row r="965" ht="13.5" customHeight="1">
      <c r="A965" s="67"/>
      <c r="D965" s="67"/>
    </row>
    <row r="966" ht="13.5" customHeight="1">
      <c r="A966" s="67"/>
      <c r="D966" s="67"/>
    </row>
    <row r="967" ht="13.5" customHeight="1">
      <c r="A967" s="67"/>
      <c r="D967" s="67"/>
    </row>
    <row r="968" ht="13.5" customHeight="1">
      <c r="A968" s="67"/>
      <c r="D968" s="67"/>
    </row>
    <row r="969" ht="13.5" customHeight="1">
      <c r="A969" s="67"/>
      <c r="D969" s="67"/>
    </row>
    <row r="970" ht="13.5" customHeight="1">
      <c r="A970" s="67"/>
      <c r="D970" s="67"/>
    </row>
    <row r="971" ht="13.5" customHeight="1">
      <c r="A971" s="67"/>
      <c r="D971" s="67"/>
    </row>
    <row r="972" ht="13.5" customHeight="1">
      <c r="A972" s="67"/>
      <c r="D972" s="67"/>
    </row>
    <row r="973" ht="13.5" customHeight="1">
      <c r="A973" s="67"/>
      <c r="D973" s="67"/>
    </row>
    <row r="974" ht="13.5" customHeight="1">
      <c r="A974" s="67"/>
      <c r="D974" s="67"/>
    </row>
    <row r="975" ht="13.5" customHeight="1">
      <c r="A975" s="67"/>
      <c r="D975" s="67"/>
    </row>
    <row r="976" ht="13.5" customHeight="1">
      <c r="A976" s="67"/>
      <c r="D976" s="67"/>
    </row>
    <row r="977" ht="13.5" customHeight="1">
      <c r="A977" s="67"/>
      <c r="D977" s="67"/>
    </row>
    <row r="978" ht="13.5" customHeight="1">
      <c r="A978" s="67"/>
      <c r="D978" s="67"/>
    </row>
    <row r="979" ht="13.5" customHeight="1">
      <c r="A979" s="67"/>
      <c r="D979" s="67"/>
    </row>
    <row r="980" ht="13.5" customHeight="1">
      <c r="A980" s="67"/>
      <c r="D980" s="67"/>
    </row>
    <row r="981" ht="13.5" customHeight="1">
      <c r="A981" s="67"/>
      <c r="D981" s="67"/>
    </row>
    <row r="982" ht="13.5" customHeight="1">
      <c r="A982" s="67"/>
      <c r="D982" s="67"/>
    </row>
    <row r="983" ht="13.5" customHeight="1">
      <c r="A983" s="67"/>
      <c r="D983" s="67"/>
    </row>
    <row r="984" ht="13.5" customHeight="1">
      <c r="A984" s="67"/>
      <c r="D984" s="67"/>
    </row>
    <row r="985" ht="13.5" customHeight="1">
      <c r="A985" s="67"/>
      <c r="D985" s="67"/>
    </row>
    <row r="986" ht="13.5" customHeight="1">
      <c r="A986" s="67"/>
      <c r="D986" s="67"/>
    </row>
    <row r="987" ht="13.5" customHeight="1">
      <c r="A987" s="67"/>
      <c r="D987" s="67"/>
    </row>
    <row r="988" ht="13.5" customHeight="1">
      <c r="A988" s="67"/>
      <c r="D988" s="67"/>
    </row>
    <row r="989" ht="13.5" customHeight="1">
      <c r="A989" s="67"/>
      <c r="D989" s="67"/>
    </row>
    <row r="990" ht="13.5" customHeight="1">
      <c r="A990" s="67"/>
      <c r="D990" s="67"/>
    </row>
    <row r="991" ht="13.5" customHeight="1">
      <c r="A991" s="67"/>
      <c r="D991" s="67"/>
    </row>
    <row r="992" ht="13.5" customHeight="1">
      <c r="A992" s="67"/>
      <c r="D992" s="67"/>
    </row>
    <row r="993" ht="13.5" customHeight="1">
      <c r="A993" s="67"/>
      <c r="D993" s="67"/>
    </row>
    <row r="994" ht="13.5" customHeight="1">
      <c r="A994" s="67"/>
      <c r="D994" s="67"/>
    </row>
    <row r="995" ht="13.5" customHeight="1">
      <c r="A995" s="67"/>
      <c r="D995" s="67"/>
    </row>
    <row r="996" ht="13.5" customHeight="1">
      <c r="A996" s="67"/>
      <c r="D996" s="67"/>
    </row>
    <row r="997" ht="13.5" customHeight="1">
      <c r="A997" s="67"/>
      <c r="D997" s="67"/>
    </row>
    <row r="998" ht="13.5" customHeight="1">
      <c r="A998" s="67"/>
      <c r="D998" s="67"/>
    </row>
    <row r="999" ht="13.5" customHeight="1">
      <c r="A999" s="67"/>
      <c r="D999" s="67"/>
    </row>
    <row r="1000" ht="13.5" customHeight="1">
      <c r="A1000" s="67"/>
      <c r="D1000" s="67"/>
    </row>
  </sheetData>
  <dataValidations>
    <dataValidation type="list" allowBlank="1" sqref="C6:C17">
      <formula1>"Proteína,Carboidrato"</formula1>
    </dataValidation>
    <dataValidation type="list" allowBlank="1" showInputMessage="1" showErrorMessage="1" prompt="Escolha uma opção cadastrada." sqref="A6:A1000 D6:D1000">
      <formula1>Alimentos!$A$6:$A$1000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2.0"/>
    <col customWidth="1" min="3" max="3" width="35.0"/>
    <col customWidth="1" min="4" max="4" width="14.0"/>
    <col customWidth="1" min="5" max="5" width="12.0"/>
    <col customWidth="1" min="6" max="6" width="13.0"/>
    <col customWidth="1" min="7" max="7" width="15.0"/>
    <col customWidth="1" min="8" max="8" width="17.0"/>
    <col customWidth="1" min="9" max="9" width="14.0"/>
    <col customWidth="1" min="10" max="10" width="12.0"/>
    <col customWidth="1" min="11" max="11" width="20.0"/>
    <col customWidth="1" min="12" max="12" width="50.0"/>
    <col customWidth="1" min="13" max="13" width="28.0"/>
    <col customWidth="1" min="14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>
      <c r="A2" s="47" t="s">
        <v>256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1.75" customHeight="1">
      <c r="A3" s="48" t="s">
        <v>258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37.5" customHeight="1">
      <c r="A5" s="49" t="s">
        <v>8</v>
      </c>
      <c r="B5" s="49" t="s">
        <v>100</v>
      </c>
      <c r="C5" s="49" t="s">
        <v>114</v>
      </c>
      <c r="D5" s="49" t="s">
        <v>115</v>
      </c>
      <c r="E5" s="49" t="s">
        <v>112</v>
      </c>
      <c r="F5" s="49" t="s">
        <v>116</v>
      </c>
      <c r="G5" s="49" t="s">
        <v>157</v>
      </c>
      <c r="H5" s="49" t="s">
        <v>231</v>
      </c>
      <c r="I5" s="49" t="s">
        <v>161</v>
      </c>
      <c r="J5" s="49" t="s">
        <v>232</v>
      </c>
      <c r="K5" s="49" t="s">
        <v>119</v>
      </c>
      <c r="L5" s="49" t="s">
        <v>141</v>
      </c>
      <c r="M5" s="49" t="s">
        <v>262</v>
      </c>
      <c r="N5" s="51" t="s">
        <v>263</v>
      </c>
      <c r="O5" s="51" t="s">
        <v>264</v>
      </c>
    </row>
    <row r="6" ht="21.75" customHeight="1">
      <c r="A6" s="52"/>
      <c r="B6" s="53"/>
      <c r="C6" s="53"/>
      <c r="D6" s="64"/>
      <c r="E6" s="65"/>
      <c r="F6" s="65"/>
      <c r="G6" s="65"/>
      <c r="H6" s="65"/>
      <c r="I6" s="65"/>
      <c r="J6" s="65"/>
      <c r="K6" s="53"/>
      <c r="L6" s="53"/>
      <c r="M6" s="66"/>
      <c r="N6" s="56"/>
      <c r="O6" s="56"/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M6">
    <cfRule type="containsText" dxfId="7" priority="1" operator="containsText" text="Rever">
      <formula>NOT(ISERROR(SEARCH(("Rever"),(M6))))</formula>
    </cfRule>
  </conditionalFormatting>
  <dataValidations>
    <dataValidation type="decimal" allowBlank="1" sqref="D6">
      <formula1>0.0</formula1>
      <formula2>10000.0</formula2>
    </dataValidation>
    <dataValidation type="list" allowBlank="1" sqref="K6">
      <formula1>"Pesada,Rótulo,Estimada"</formula1>
    </dataValidation>
    <dataValidation type="list" allowBlank="1" sqref="B6">
      <formula1>"Café da manhã,Almoço,Lanche,Jantar,Ceia,Complemento,Outro"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0"/>
    <col customWidth="1" min="2" max="2" width="14.0"/>
    <col customWidth="1" min="3" max="3" width="13.0"/>
    <col customWidth="1" min="4" max="4" width="14.0"/>
    <col customWidth="1" min="5" max="6" width="15.0"/>
    <col customWidth="1" min="7" max="7" width="19.0"/>
    <col customWidth="1" min="8" max="8" width="17.0"/>
    <col customWidth="1" min="9" max="9" width="15.0"/>
    <col customWidth="1" min="10" max="10" width="18.0"/>
    <col customWidth="1" min="11" max="11" width="60.0"/>
    <col customWidth="1" min="12" max="13" width="15.0"/>
    <col customWidth="1" min="14" max="14" width="17.0"/>
    <col customWidth="1" min="15" max="17" width="16.0"/>
    <col customWidth="1" min="18" max="20" width="14.0"/>
    <col customWidth="1" min="21" max="21" width="18.0"/>
    <col customWidth="1" min="22" max="22" width="14.0"/>
    <col customWidth="1" min="23" max="23" width="16.0"/>
    <col customWidth="1" min="24" max="24" width="18.0"/>
    <col customWidth="1" min="25" max="25" width="16.0"/>
    <col customWidth="1" min="26" max="27" width="14.0"/>
    <col customWidth="1" min="28" max="29" width="20.0"/>
    <col customWidth="1" min="30" max="31" width="22.0"/>
    <col customWidth="1" min="32" max="32" width="18.0"/>
    <col customWidth="1" min="33" max="33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2" t="s">
        <v>288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9.75" customHeight="1">
      <c r="A5" s="68" t="s">
        <v>8</v>
      </c>
      <c r="B5" s="68" t="s">
        <v>19</v>
      </c>
      <c r="C5" s="68" t="s">
        <v>23</v>
      </c>
      <c r="D5" s="68" t="s">
        <v>28</v>
      </c>
      <c r="E5" s="68" t="s">
        <v>32</v>
      </c>
      <c r="F5" s="68" t="s">
        <v>38</v>
      </c>
      <c r="G5" s="68" t="s">
        <v>290</v>
      </c>
      <c r="H5" s="68" t="s">
        <v>69</v>
      </c>
      <c r="I5" s="68" t="s">
        <v>70</v>
      </c>
      <c r="J5" s="68" t="s">
        <v>71</v>
      </c>
      <c r="K5" s="68" t="s">
        <v>72</v>
      </c>
      <c r="L5" s="68" t="s">
        <v>291</v>
      </c>
      <c r="M5" s="68" t="s">
        <v>292</v>
      </c>
      <c r="N5" s="68" t="s">
        <v>293</v>
      </c>
      <c r="O5" s="68" t="s">
        <v>294</v>
      </c>
      <c r="P5" s="68" t="s">
        <v>295</v>
      </c>
      <c r="Q5" s="68" t="s">
        <v>296</v>
      </c>
      <c r="R5" s="68" t="s">
        <v>297</v>
      </c>
      <c r="S5" s="68" t="s">
        <v>298</v>
      </c>
      <c r="T5" s="68" t="s">
        <v>299</v>
      </c>
      <c r="U5" s="68" t="s">
        <v>300</v>
      </c>
      <c r="V5" s="68" t="s">
        <v>116</v>
      </c>
      <c r="W5" s="68" t="s">
        <v>157</v>
      </c>
      <c r="X5" s="68" t="s">
        <v>231</v>
      </c>
      <c r="Y5" s="68" t="s">
        <v>161</v>
      </c>
      <c r="Z5" s="68" t="s">
        <v>232</v>
      </c>
      <c r="AA5" s="68" t="s">
        <v>301</v>
      </c>
      <c r="AB5" s="68" t="s">
        <v>302</v>
      </c>
      <c r="AC5" s="68" t="s">
        <v>303</v>
      </c>
      <c r="AD5" s="68" t="s">
        <v>159</v>
      </c>
      <c r="AE5" s="68" t="s">
        <v>305</v>
      </c>
      <c r="AF5" s="68" t="s">
        <v>306</v>
      </c>
      <c r="AG5" s="69" t="s">
        <v>211</v>
      </c>
    </row>
    <row r="6" ht="22.5" customHeight="1">
      <c r="A6" s="70"/>
      <c r="B6" s="71"/>
      <c r="C6" s="71"/>
      <c r="D6" s="71"/>
      <c r="E6" s="71"/>
      <c r="F6" s="71"/>
      <c r="G6" s="66"/>
      <c r="H6" s="71"/>
      <c r="I6" s="71"/>
      <c r="J6" s="71"/>
      <c r="K6" s="71"/>
      <c r="L6" s="66"/>
      <c r="M6" s="50"/>
      <c r="N6" s="50"/>
      <c r="O6" s="50"/>
      <c r="P6" s="50"/>
      <c r="Q6" s="50"/>
      <c r="R6" s="50"/>
      <c r="S6" s="50"/>
      <c r="T6" s="50"/>
      <c r="U6" s="50"/>
      <c r="V6" s="71" t="str">
        <f>IF(A6="","",IF(COUNTIFS('Alimentação'!$A$6:$A1000,A6,'Alimentação'!$F$6:$F1000,"&gt;=0")=0,"",SUMIFS('Alimentação'!$F$6:$F1000,'Alimentação'!$A$6:$A1000,A6)))</f>
        <v/>
      </c>
      <c r="W6" s="71" t="str">
        <f>IF(ISNUMBER(V6),SUMIFS('Alimentação'!$G:$G,'Alimentação'!$A:$A,A6),"")</f>
        <v/>
      </c>
      <c r="X6" s="71" t="str">
        <f>IF(ISNUMBER(V6),SUMIFS('Alimentação'!$H:$H,'Alimentação'!$A:$A,A6),"")</f>
        <v/>
      </c>
      <c r="Y6" s="71" t="str">
        <f>IF(ISNUMBER(V6),SUMIFS('Alimentação'!$I:$I,'Alimentação'!$A:$A,A6),"")</f>
        <v/>
      </c>
      <c r="Z6" s="71" t="str">
        <f>IF(ISNUMBER(V6),SUMIFS('Alimentação'!$J:$J,'Alimentação'!$A:$A,A6),"")</f>
        <v/>
      </c>
      <c r="AA6" s="71" t="str">
        <f>IFERROR(__xludf.DUMMYFUNCTION("IF(A6="""","""",IFERROR(COUNTUNIQUE(FILTER('Registro de treino'!$W$6:$W1000,'Registro de treino'!$A$6:$A1000=A6,'Registro de treino'!$Y$6:$Y1000=""Concluído"")),0))"),"")</f>
        <v/>
      </c>
      <c r="AB6" s="71" t="str">
        <f>IF(OR(A6="",AF6=0),"",SUMIFS('Diário'!$B:$B,'Diário'!$A:$A,"&gt;="&amp;A6-6,'Diário'!$A:$A,"&lt;="&amp;A6)/AF6)</f>
        <v/>
      </c>
      <c r="AC6" s="71" t="str">
        <f>IF(AND(G6="Sim",AG6=0,ISNUMBER(V6),ISNUMBER(M6),M6&gt;0),IF(ABS(V6/M6-1)&lt;=T6,1,0),"")</f>
        <v/>
      </c>
      <c r="AD6" s="71" t="str">
        <f>IF(AND(G6="Sim",AG6=0,ISNUMBER(W6),ISNUMBER(R6),ISNUMBER(S6)),IF(AND(W6&gt;=R6,W6&lt;=S6),1,0),"")</f>
        <v/>
      </c>
      <c r="AE6" s="71" t="str">
        <f>IF(AND(G6="Sim",AG6=0,ISNUMBER(Y6),ISNUMBER(O6),O6&gt;0),IF(ABS(Y6/O6-1)&lt;=U6,1,0),"")</f>
        <v/>
      </c>
      <c r="AF6" s="71" t="str">
        <f>IF(A6="","",COUNTIFS('Diário'!$A:$A,"&gt;="&amp;A6-6,'Diário'!$A:$A,"&lt;="&amp;A6,'Diário'!$B:$B,"&gt;0"))</f>
        <v/>
      </c>
      <c r="AG6" s="71" t="str">
        <f>IF(A6="","",COUNTIFS('Alimentação'!$A$6:$A1000,A6,'Alimentação'!$M$6:$M1000,"Sem cálculo"))</f>
        <v/>
      </c>
    </row>
    <row r="7" ht="22.5" customHeight="1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ht="22.5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ht="22.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ht="22.5" customHeight="1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ht="22.5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ht="22.5" customHeight="1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ht="22.5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ht="22.5" customHeigh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ht="22.5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ht="22.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ht="22.5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ht="22.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ht="22.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ht="22.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ht="22.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ht="22.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ht="22.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ht="22.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ht="22.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ht="22.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ht="22.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ht="22.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ht="22.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ht="22.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ht="22.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ht="22.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ht="22.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ht="22.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ht="22.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ht="22.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ht="22.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ht="22.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ht="22.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ht="22.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ht="22.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ht="22.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ht="22.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ht="22.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ht="22.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ht="22.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ht="22.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ht="22.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ht="22.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ht="22.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ht="22.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ht="22.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ht="22.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ht="22.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ht="22.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ht="22.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ht="22.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ht="22.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ht="22.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ht="22.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ht="22.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ht="22.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ht="22.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 ht="22.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</row>
    <row r="65" ht="22.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2B3428F0-DDF9-4C7F-9789-E0B0F48B1A95}" filter="1" showAutoFilter="1">
      <autoFilter ref="$A$5:$AG$1000"/>
    </customSheetView>
  </customSheetViews>
  <dataValidations>
    <dataValidation type="decimal" allowBlank="1" sqref="G6">
      <formula1>0.0</formula1>
      <formula2>100000.0</formula2>
    </dataValidation>
    <dataValidation type="decimal" allowBlank="1" sqref="C6">
      <formula1>0.0</formula1>
      <formula2>24.0</formula2>
    </dataValidation>
    <dataValidation type="list" allowBlank="1" sqref="H6:I6 M6">
      <formula1>"Sim,Não"</formula1>
    </dataValidation>
    <dataValidation type="decimal" allowBlank="1" sqref="L6">
      <formula1>0.0</formula1>
      <formula2>30.0</formula2>
    </dataValidation>
    <dataValidation type="decimal" allowBlank="1" sqref="B6">
      <formula1>20.0</formula1>
      <formula2>300.0</formula2>
    </dataValidation>
    <dataValidation type="decimal" allowBlank="1" sqref="J6">
      <formula1>0.0</formula1>
      <formula2>600.0</formula2>
    </dataValidation>
    <dataValidation type="decimal" allowBlank="1" sqref="K6">
      <formula1>0.0</formula1>
      <formula2>15.0</formula2>
    </dataValidation>
    <dataValidation type="decimal" allowBlank="1" sqref="D6:E6">
      <formula1>1.0</formula1>
      <formula2>5.0</formula2>
    </dataValidation>
    <dataValidation type="decimal" allowBlank="1" sqref="F6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2" width="15.0"/>
    <col customWidth="1" min="3" max="3" width="14.0"/>
    <col customWidth="1" min="4" max="4" width="16.0"/>
    <col customWidth="1" min="5" max="5" width="18.0"/>
    <col customWidth="1" min="6" max="6" width="15.0"/>
    <col customWidth="1" min="7" max="7" width="18.0"/>
    <col customWidth="1" min="8" max="8" width="20.0"/>
    <col customWidth="1" min="9" max="10" width="18.0"/>
    <col customWidth="1" min="11" max="11" width="20.0"/>
    <col customWidth="1" min="12" max="12" width="22.0"/>
    <col customWidth="1" min="13" max="13" width="14.0"/>
    <col customWidth="1" min="14" max="14" width="18.0"/>
    <col customWidth="1" min="15" max="15" width="19.0"/>
    <col customWidth="1" min="16" max="16" width="17.0"/>
    <col customWidth="1" min="17" max="17" width="18.0"/>
    <col customWidth="1" min="18" max="18" width="17.0"/>
    <col customWidth="1" min="19" max="19" width="22.0"/>
    <col customWidth="1" min="20" max="33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2" t="s">
        <v>335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9.75" customHeight="1">
      <c r="A5" s="68" t="s">
        <v>336</v>
      </c>
      <c r="B5" s="68" t="s">
        <v>337</v>
      </c>
      <c r="C5" s="68" t="s">
        <v>338</v>
      </c>
      <c r="D5" s="68" t="s">
        <v>339</v>
      </c>
      <c r="E5" s="68" t="s">
        <v>340</v>
      </c>
      <c r="F5" s="68" t="s">
        <v>341</v>
      </c>
      <c r="G5" s="68" t="s">
        <v>342</v>
      </c>
      <c r="H5" s="68" t="s">
        <v>343</v>
      </c>
      <c r="I5" s="68" t="s">
        <v>344</v>
      </c>
      <c r="J5" s="68" t="s">
        <v>345</v>
      </c>
      <c r="K5" s="68" t="s">
        <v>303</v>
      </c>
      <c r="L5" s="68" t="s">
        <v>159</v>
      </c>
      <c r="M5" s="68" t="s">
        <v>301</v>
      </c>
      <c r="N5" s="68" t="s">
        <v>346</v>
      </c>
      <c r="O5" s="68" t="s">
        <v>165</v>
      </c>
      <c r="P5" s="68" t="s">
        <v>32</v>
      </c>
      <c r="Q5" s="68" t="s">
        <v>347</v>
      </c>
      <c r="R5" s="68" t="s">
        <v>38</v>
      </c>
      <c r="S5" s="68" t="s">
        <v>348</v>
      </c>
      <c r="T5" s="69" t="s">
        <v>349</v>
      </c>
      <c r="U5" s="69" t="s">
        <v>211</v>
      </c>
      <c r="V5" s="69" t="s">
        <v>207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22.5" customHeight="1">
      <c r="A6" s="70"/>
      <c r="B6" s="76" t="str">
        <f>IF(A6="","",A6+6)</f>
        <v/>
      </c>
      <c r="C6" s="71" t="str">
        <f>IF(A6="","",COUNTIFS('Diário'!$A:$A,"&gt;="&amp;A6,'Diário'!$A:$A,"&lt;="&amp;B6,'Diário'!$B:$B,"&gt;0"))</f>
        <v/>
      </c>
      <c r="D6" s="71" t="str">
        <f>IF(A6="","",IF(SUMPRODUCT(('Diário'!$A:$A&gt;=A6)*('Diário'!$A:$A&lt;=B6)*ISNUMBER('Diário'!$B:$B))=0,"",SUMIFS('Diário'!$B:$B,'Diário'!$A:$A,"&gt;="&amp;A6,'Diário'!$A:$A,"&lt;="&amp;B6)/SUMPRODUCT(('Diário'!$A:$A&gt;=A6)*('Diário'!$A:$A&lt;=B6)*ISNUMBER('Diário'!$B:$B))))</f>
        <v/>
      </c>
      <c r="E6" s="71" t="str">
        <f>IF(A6="","",IF(OR(NOT(ISNUMBER(D6)),COUNTIFS(Semanas!$A:$A,A6-7,Semanas!$C:$C,"&gt;0")=0),"",D6-SUMIFS(Semanas!$D:$D,Semanas!$A:$A,A6-7)))</f>
        <v/>
      </c>
      <c r="F6" s="71" t="str">
        <f>IF(A6="","",IF(SUMPRODUCT(('Diário'!$A:$A&gt;=A6)*('Diário'!$A:$A&lt;=B6)*ISNUMBER('Diário'!$H:$H))=0,"",SUMIFS('Diário'!$H:$H,'Diário'!$A:$A,"&gt;="&amp;A6,'Diário'!$A:$A,"&lt;="&amp;B6)/SUMPRODUCT(('Diário'!$A:$A&gt;=A6)*('Diário'!$A:$A&lt;=B6)*ISNUMBER('Diário'!$H:$H))))</f>
        <v/>
      </c>
      <c r="G6" s="71" t="str">
        <f>IF(A6="","",IF(SUMPRODUCT(('Diário'!$A:$A&gt;=A6)*('Diário'!$A:$A&lt;=B6)*ISNUMBER('Diário'!$V:$V)*('Diário'!$G:$G="Sim")*('Diário'!$AG:$AG=0))=0,"",SUMIFS('Diário'!$V:$V,'Diário'!$A:$A,"&gt;="&amp;A6,'Diário'!$A:$A,"&lt;="&amp;B6,'Diário'!$G:$G,"Sim",'Diário'!$AG:$AG,0)/SUMPRODUCT(('Diário'!$A:$A&gt;=A6)*('Diário'!$A:$A&lt;=B6)*ISNUMBER('Diário'!$V:$V)*('Diário'!$G:$G="Sim")*('Diário'!$AG:$AG=0))))</f>
        <v/>
      </c>
      <c r="H6" s="71" t="str">
        <f>IF(A6="","",IF(SUMPRODUCT(('Diário'!$A:$A&gt;=A6)*('Diário'!$A:$A&lt;=B6)*ISNUMBER('Diário'!$W:$W)*('Diário'!$G:$G="Sim")*('Diário'!$AG:$AG=0))=0,"",SUMIFS('Diário'!$W:$W,'Diário'!$A:$A,"&gt;="&amp;A6,'Diário'!$A:$A,"&lt;="&amp;B6,'Diário'!$G:$G,"Sim",'Diário'!$AG:$AG,0)/SUMPRODUCT(('Diário'!$A:$A&gt;=A6)*('Diário'!$A:$A&lt;=B6)*ISNUMBER('Diário'!$W:$W)*('Diário'!$G:$G="Sim")*('Diário'!$AG:$AG=0))))</f>
        <v/>
      </c>
      <c r="I6" s="71" t="str">
        <f>IF(A6="","",IF(SUMPRODUCT(('Diário'!$A:$A&gt;=A6)*('Diário'!$A:$A&lt;=B6)*ISNUMBER('Diário'!$Y:$Y)*('Diário'!$G:$G="Sim")*('Diário'!$AG:$AG=0))=0,"",SUMIFS('Diário'!$Y:$Y,'Diário'!$A:$A,"&gt;="&amp;A6,'Diário'!$A:$A,"&lt;="&amp;B6,'Diário'!$G:$G,"Sim",'Diário'!$AG:$AG,0)/SUMPRODUCT(('Diário'!$A:$A&gt;=A6)*('Diário'!$A:$A&lt;=B6)*ISNUMBER('Diário'!$Y:$Y)*('Diário'!$G:$G="Sim")*('Diário'!$AG:$AG=0))))</f>
        <v/>
      </c>
      <c r="J6" s="71" t="str">
        <f>IF(A6="","",COUNTIFS('Diário'!$A:$A,"&gt;="&amp;A6,'Diário'!$A:$A,"&lt;="&amp;B6,'Diário'!$G:$G,"Sim",'Diário'!$V:$V,"&gt;=0",'Diário'!$AG:$AG,0))</f>
        <v/>
      </c>
      <c r="K6" s="77" t="str">
        <f>IF(A6="","",IF(SUMPRODUCT(('Diário'!$A:$A&gt;=A6)*('Diário'!$A:$A&lt;=B6)*ISNUMBER('Diário'!$AC:$AC))=0,"",SUMIFS('Diário'!$AC:$AC,'Diário'!$A:$A,"&gt;="&amp;A6,'Diário'!$A:$A,"&lt;="&amp;B6)/SUMPRODUCT(('Diário'!$A:$A&gt;=A6)*('Diário'!$A:$A&lt;=B6)*ISNUMBER('Diário'!$AC:$AC))))</f>
        <v/>
      </c>
      <c r="L6" s="77" t="str">
        <f>IF(A6="","",IF(SUMPRODUCT(('Diário'!$A:$A&gt;=A6)*('Diário'!$A:$A&lt;=B6)*ISNUMBER('Diário'!$AD:$AD))=0,"",SUMIFS('Diário'!$AD:$AD,'Diário'!$A:$A,"&gt;="&amp;A6,'Diário'!$A:$A,"&lt;="&amp;B6)/SUMPRODUCT(('Diário'!$A:$A&gt;=A6)*('Diário'!$A:$A&lt;=B6)*ISNUMBER('Diário'!$AD:$AD))))</f>
        <v/>
      </c>
      <c r="M6" s="71" t="str">
        <f>IF(A6="","",SUMIFS('Diário'!$AA:$AA,'Diário'!$A:$A,"&gt;="&amp;A6,'Diário'!$A:$A,"&lt;="&amp;B6))</f>
        <v/>
      </c>
      <c r="N6" s="71" t="str">
        <f>IF(A6="","",IF(COUNTIFS('Diário'!$A:$A,"&gt;="&amp;A6,'Diário'!$A:$A,"&lt;="&amp;B6)=0,"",SUMIFS('Diário'!$Q:$Q,'Diário'!$A:$A,"&gt;="&amp;A6,'Diário'!$A:$A,"&lt;="&amp;B6)/COUNTIFS('Diário'!$A:$A,"&gt;="&amp;A6,'Diário'!$A:$A,"&lt;="&amp;B6)))</f>
        <v/>
      </c>
      <c r="O6" s="71" t="str">
        <f>IF(A6="","",IF(SUMPRODUCT(('Diário'!$A:$A&gt;=A6)*('Diário'!$A:$A&lt;=B6)*ISNUMBER('Diário'!$D:$D))=0,"",SUMIFS('Diário'!$D:$D,'Diário'!$A:$A,"&gt;="&amp;A6,'Diário'!$A:$A,"&lt;="&amp;B6)/SUMPRODUCT(('Diário'!$A:$A&gt;=A6)*('Diário'!$A:$A&lt;=B6)*ISNUMBER('Diário'!$D:$D))))</f>
        <v/>
      </c>
      <c r="P6" s="71" t="str">
        <f>IF(A6="","",SUMIFS('Diário'!$E:$E,'Diário'!$A:$A,"&gt;="&amp;A6,'Diário'!$A:$A,"&lt;="&amp;B6))</f>
        <v/>
      </c>
      <c r="Q6" s="71" t="str">
        <f>IF(A6="","",IF(SUMPRODUCT(('Diário'!$A:$A&gt;=A6)*('Diário'!$A:$A&lt;=B6)*ISNUMBER('Diário'!$C:$C))=0,"",SUMIFS('Diário'!$C:$C,'Diário'!$A:$A,"&gt;="&amp;A6,'Diário'!$A:$A,"&lt;="&amp;B6)/SUMPRODUCT(('Diário'!$A:$A&gt;=A6)*('Diário'!$A:$A&lt;=B6)*ISNUMBER('Diário'!$C:$C))))</f>
        <v/>
      </c>
      <c r="R6" s="71" t="str">
        <f>IF(A6="","",COUNTIFS('Diário'!$A:$A,"&gt;="&amp;A6,'Diário'!$A:$A,"&lt;="&amp;B6,'Diário'!$F:$F,"Sim"))</f>
        <v/>
      </c>
      <c r="S6" s="71" t="str">
        <f>IF(A6="","",IF(B6&gt;=TODAY(),"Semana parcial","Semana encerrada"))</f>
        <v/>
      </c>
      <c r="T6" s="71" t="str">
        <f>IFERROR(__xludf.DUMMYFUNCTION("IF(A6="""","""",IFERROR(COUNTUNIQUE(FILTER('Alimentação'!$A$6:$A1000,'Alimentação'!$A$6:$A1000&gt;=A6,'Alimentação'!$A$6:$A1000&lt;=B6)),0))"),"")</f>
        <v/>
      </c>
      <c r="U6" s="71" t="str">
        <f>IF(A6="","",SUMIFS('Diário'!$AG$6:$AG1000,'Diário'!$A$6:$A1000,"&gt;="&amp;A6,'Diário'!$A$6:$A1000,"&lt;="&amp;B6))</f>
        <v/>
      </c>
      <c r="V6" s="71" t="str">
        <f>IF(A6="","",J6&amp;" dias completos com cálculo / "&amp;MAX(0,MIN(7,TODAY()-A6+1))&amp;" dias decorridos")</f>
        <v/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22.5" customHeight="1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2.5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22.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2.5" customHeight="1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2.5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2.5" customHeight="1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2.5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2.5" customHeigh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2.5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2.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2.5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2.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2.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2.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2.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2.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2.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2.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2.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2.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2.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2.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2.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2.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2.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2.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2.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2.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2.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2.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2.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2.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2.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22.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22.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22.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22.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22.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22.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22.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2.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2.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2.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22.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22.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22.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22.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22.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22.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22.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22.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22.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22.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22.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22.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22.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22.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22.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22.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2D33DF88-7004-437F-AA82-6231C0DF7474}" filter="1" showAutoFilter="1">
      <autoFilter ref="$A$5:$V$1000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4.0"/>
    <col customWidth="1" min="2" max="2" width="23.0"/>
    <col customWidth="1" min="3" max="3" width="16.0"/>
    <col customWidth="1" min="4" max="4" width="15.0"/>
    <col customWidth="1" min="5" max="6" width="20.0"/>
    <col customWidth="1" min="7" max="9" width="40.0"/>
    <col customWidth="1" min="10" max="10" width="65.0"/>
    <col customWidth="1" min="11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</row>
    <row r="2" ht="21.75" customHeight="1">
      <c r="A2" s="5" t="s">
        <v>350</v>
      </c>
      <c r="B2" s="4"/>
      <c r="C2" s="4"/>
      <c r="D2" s="4"/>
      <c r="E2" s="4"/>
      <c r="F2" s="4"/>
      <c r="G2" s="4"/>
      <c r="H2" s="4"/>
      <c r="I2" s="4"/>
      <c r="J2" s="4"/>
    </row>
    <row r="3" ht="21.75" customHeight="1">
      <c r="A3" s="6" t="s">
        <v>351</v>
      </c>
      <c r="B3" s="4"/>
      <c r="C3" s="4"/>
      <c r="D3" s="4"/>
      <c r="E3" s="4"/>
      <c r="F3" s="4"/>
      <c r="G3" s="4"/>
      <c r="H3" s="4"/>
      <c r="I3" s="4"/>
      <c r="J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ht="37.5" customHeight="1">
      <c r="A5" s="46" t="s">
        <v>8</v>
      </c>
      <c r="B5" s="46" t="s">
        <v>352</v>
      </c>
      <c r="C5" s="46" t="s">
        <v>353</v>
      </c>
      <c r="D5" s="46" t="s">
        <v>354</v>
      </c>
      <c r="E5" s="46" t="s">
        <v>355</v>
      </c>
      <c r="F5" s="46" t="s">
        <v>356</v>
      </c>
      <c r="G5" s="46" t="s">
        <v>357</v>
      </c>
      <c r="H5" s="46" t="s">
        <v>358</v>
      </c>
      <c r="I5" s="46" t="s">
        <v>359</v>
      </c>
      <c r="J5" s="46" t="s">
        <v>360</v>
      </c>
    </row>
    <row r="6" ht="21.75" customHeight="1">
      <c r="A6" s="78"/>
      <c r="B6" s="55"/>
      <c r="C6" s="55"/>
      <c r="D6" s="55"/>
      <c r="E6" s="55"/>
      <c r="F6" s="55"/>
      <c r="G6" s="55"/>
      <c r="H6" s="55"/>
      <c r="I6" s="55"/>
      <c r="J6" s="55"/>
    </row>
    <row r="7" ht="21.75" customHeight="1">
      <c r="A7" s="78"/>
      <c r="B7" s="55"/>
      <c r="C7" s="55"/>
      <c r="D7" s="55"/>
      <c r="E7" s="55"/>
      <c r="F7" s="55"/>
      <c r="G7" s="55"/>
      <c r="H7" s="55"/>
      <c r="I7" s="55"/>
      <c r="J7" s="55"/>
    </row>
    <row r="8" ht="21.75" customHeight="1">
      <c r="A8" s="78"/>
      <c r="B8" s="55"/>
      <c r="C8" s="55"/>
      <c r="D8" s="55"/>
      <c r="E8" s="55"/>
      <c r="F8" s="55"/>
      <c r="G8" s="55"/>
      <c r="H8" s="55"/>
      <c r="I8" s="55"/>
      <c r="J8" s="55"/>
    </row>
    <row r="9" ht="21.75" customHeight="1">
      <c r="A9" s="78"/>
      <c r="B9" s="55"/>
      <c r="C9" s="55"/>
      <c r="D9" s="55"/>
      <c r="E9" s="55"/>
      <c r="F9" s="55"/>
      <c r="G9" s="55"/>
      <c r="H9" s="55"/>
      <c r="I9" s="55"/>
      <c r="J9" s="55"/>
    </row>
    <row r="10" ht="21.75" customHeight="1">
      <c r="A10" s="78"/>
      <c r="B10" s="55"/>
      <c r="C10" s="55"/>
      <c r="D10" s="55"/>
      <c r="E10" s="55"/>
      <c r="F10" s="55"/>
      <c r="G10" s="55"/>
      <c r="H10" s="55"/>
      <c r="I10" s="55"/>
      <c r="J10" s="55"/>
    </row>
    <row r="11" ht="21.75" customHeight="1">
      <c r="A11" s="78"/>
      <c r="B11" s="55"/>
      <c r="C11" s="55"/>
      <c r="D11" s="55"/>
      <c r="E11" s="55"/>
      <c r="F11" s="55"/>
      <c r="G11" s="55"/>
      <c r="H11" s="55"/>
      <c r="I11" s="55"/>
      <c r="J11" s="55"/>
    </row>
    <row r="12" ht="21.75" customHeight="1">
      <c r="A12" s="78"/>
      <c r="B12" s="55"/>
      <c r="C12" s="55"/>
      <c r="D12" s="55"/>
      <c r="E12" s="55"/>
      <c r="F12" s="55"/>
      <c r="G12" s="55"/>
      <c r="H12" s="55"/>
      <c r="I12" s="55"/>
      <c r="J12" s="55"/>
    </row>
    <row r="13" ht="21.75" customHeight="1">
      <c r="A13" s="78"/>
      <c r="B13" s="55"/>
      <c r="C13" s="55"/>
      <c r="D13" s="55"/>
      <c r="E13" s="55"/>
      <c r="F13" s="55"/>
      <c r="G13" s="55"/>
      <c r="H13" s="55"/>
      <c r="I13" s="55"/>
      <c r="J13" s="55"/>
    </row>
    <row r="14" ht="21.75" customHeight="1">
      <c r="A14" s="78"/>
      <c r="B14" s="55"/>
      <c r="C14" s="55"/>
      <c r="D14" s="55"/>
      <c r="E14" s="55"/>
      <c r="F14" s="55"/>
      <c r="G14" s="55"/>
      <c r="H14" s="55"/>
      <c r="I14" s="55"/>
      <c r="J14" s="55"/>
    </row>
    <row r="15" ht="21.75" customHeight="1">
      <c r="A15" s="78"/>
      <c r="B15" s="55"/>
      <c r="C15" s="55"/>
      <c r="D15" s="55"/>
      <c r="E15" s="55"/>
      <c r="F15" s="55"/>
      <c r="G15" s="55"/>
      <c r="H15" s="55"/>
      <c r="I15" s="55"/>
      <c r="J15" s="55"/>
    </row>
    <row r="16" ht="21.75" customHeight="1">
      <c r="A16" s="78"/>
      <c r="B16" s="55"/>
      <c r="C16" s="55"/>
      <c r="D16" s="55"/>
      <c r="E16" s="55"/>
      <c r="F16" s="55"/>
      <c r="G16" s="55"/>
      <c r="H16" s="55"/>
      <c r="I16" s="55"/>
      <c r="J16" s="55"/>
    </row>
    <row r="17" ht="21.75" customHeight="1">
      <c r="A17" s="78"/>
      <c r="B17" s="55"/>
      <c r="C17" s="55"/>
      <c r="D17" s="55"/>
      <c r="E17" s="55"/>
      <c r="F17" s="55"/>
      <c r="G17" s="55"/>
      <c r="H17" s="55"/>
      <c r="I17" s="55"/>
      <c r="J17" s="55"/>
    </row>
    <row r="18" ht="21.75" customHeight="1">
      <c r="A18" s="78"/>
      <c r="B18" s="55"/>
      <c r="C18" s="55"/>
      <c r="D18" s="55"/>
      <c r="E18" s="55"/>
      <c r="F18" s="55"/>
      <c r="G18" s="55"/>
      <c r="H18" s="55"/>
      <c r="I18" s="55"/>
      <c r="J18" s="55"/>
    </row>
    <row r="19" ht="21.75" customHeight="1">
      <c r="A19" s="78"/>
      <c r="B19" s="55"/>
      <c r="C19" s="55"/>
      <c r="D19" s="55"/>
      <c r="E19" s="55"/>
      <c r="F19" s="55"/>
      <c r="G19" s="55"/>
      <c r="H19" s="55"/>
      <c r="I19" s="55"/>
      <c r="J19" s="55"/>
    </row>
    <row r="20" ht="21.75" customHeight="1">
      <c r="A20" s="78"/>
      <c r="B20" s="55"/>
      <c r="C20" s="55"/>
      <c r="D20" s="55"/>
      <c r="E20" s="55"/>
      <c r="F20" s="55"/>
      <c r="G20" s="55"/>
      <c r="H20" s="55"/>
      <c r="I20" s="55"/>
      <c r="J20" s="55"/>
    </row>
    <row r="21" ht="21.75" customHeight="1">
      <c r="A21" s="78"/>
      <c r="B21" s="55"/>
      <c r="C21" s="55"/>
      <c r="D21" s="55"/>
      <c r="E21" s="55"/>
      <c r="F21" s="55"/>
      <c r="G21" s="55"/>
      <c r="H21" s="55"/>
      <c r="I21" s="55"/>
      <c r="J21" s="55"/>
    </row>
    <row r="22" ht="21.75" customHeight="1">
      <c r="A22" s="78"/>
      <c r="B22" s="55"/>
      <c r="C22" s="55"/>
      <c r="D22" s="55"/>
      <c r="E22" s="55"/>
      <c r="F22" s="55"/>
      <c r="G22" s="55"/>
      <c r="H22" s="55"/>
      <c r="I22" s="55"/>
      <c r="J22" s="55"/>
    </row>
    <row r="23" ht="21.75" customHeight="1">
      <c r="A23" s="78"/>
      <c r="B23" s="55"/>
      <c r="C23" s="55"/>
      <c r="D23" s="55"/>
      <c r="E23" s="55"/>
      <c r="F23" s="55"/>
      <c r="G23" s="55"/>
      <c r="H23" s="55"/>
      <c r="I23" s="55"/>
      <c r="J23" s="55"/>
    </row>
    <row r="24" ht="21.75" customHeight="1">
      <c r="A24" s="78"/>
      <c r="B24" s="55"/>
      <c r="C24" s="55"/>
      <c r="D24" s="55"/>
      <c r="E24" s="55"/>
      <c r="F24" s="55"/>
      <c r="G24" s="55"/>
      <c r="H24" s="55"/>
      <c r="I24" s="55"/>
      <c r="J24" s="55"/>
    </row>
    <row r="25" ht="21.75" customHeight="1">
      <c r="A25" s="78"/>
      <c r="B25" s="55"/>
      <c r="C25" s="55"/>
      <c r="D25" s="55"/>
      <c r="E25" s="55"/>
      <c r="F25" s="55"/>
      <c r="G25" s="55"/>
      <c r="H25" s="55"/>
      <c r="I25" s="55"/>
      <c r="J25" s="55"/>
    </row>
    <row r="26" ht="21.75" customHeight="1">
      <c r="A26" s="78"/>
      <c r="B26" s="55"/>
      <c r="C26" s="55"/>
      <c r="D26" s="55"/>
      <c r="E26" s="55"/>
      <c r="F26" s="55"/>
      <c r="G26" s="55"/>
      <c r="H26" s="55"/>
      <c r="I26" s="55"/>
      <c r="J26" s="55"/>
    </row>
    <row r="27" ht="21.75" customHeight="1">
      <c r="A27" s="78"/>
      <c r="B27" s="55"/>
      <c r="C27" s="55"/>
      <c r="D27" s="55"/>
      <c r="E27" s="55"/>
      <c r="F27" s="55"/>
      <c r="G27" s="55"/>
      <c r="H27" s="55"/>
      <c r="I27" s="55"/>
      <c r="J27" s="55"/>
    </row>
    <row r="28" ht="21.75" customHeight="1">
      <c r="A28" s="78"/>
      <c r="B28" s="55"/>
      <c r="C28" s="55"/>
      <c r="D28" s="55"/>
      <c r="E28" s="55"/>
      <c r="F28" s="55"/>
      <c r="G28" s="55"/>
      <c r="H28" s="55"/>
      <c r="I28" s="55"/>
      <c r="J28" s="55"/>
    </row>
    <row r="29" ht="21.75" customHeight="1">
      <c r="A29" s="78"/>
      <c r="B29" s="55"/>
      <c r="C29" s="55"/>
      <c r="D29" s="55"/>
      <c r="E29" s="55"/>
      <c r="F29" s="55"/>
      <c r="G29" s="55"/>
      <c r="H29" s="55"/>
      <c r="I29" s="55"/>
      <c r="J29" s="55"/>
    </row>
    <row r="30" ht="21.75" customHeight="1">
      <c r="A30" s="78"/>
      <c r="B30" s="55"/>
      <c r="C30" s="55"/>
      <c r="D30" s="55"/>
      <c r="E30" s="55"/>
      <c r="F30" s="55"/>
      <c r="G30" s="55"/>
      <c r="H30" s="55"/>
      <c r="I30" s="55"/>
      <c r="J30" s="55"/>
    </row>
    <row r="31" ht="21.75" customHeight="1">
      <c r="A31" s="78"/>
      <c r="B31" s="55"/>
      <c r="C31" s="55"/>
      <c r="D31" s="55"/>
      <c r="E31" s="55"/>
      <c r="F31" s="55"/>
      <c r="G31" s="55"/>
      <c r="H31" s="55"/>
      <c r="I31" s="55"/>
      <c r="J31" s="55"/>
    </row>
    <row r="32" ht="21.75" customHeight="1">
      <c r="A32" s="78"/>
      <c r="B32" s="55"/>
      <c r="C32" s="55"/>
      <c r="D32" s="55"/>
      <c r="E32" s="55"/>
      <c r="F32" s="55"/>
      <c r="G32" s="55"/>
      <c r="H32" s="55"/>
      <c r="I32" s="55"/>
      <c r="J32" s="55"/>
    </row>
    <row r="33" ht="21.75" customHeight="1">
      <c r="A33" s="78"/>
      <c r="B33" s="55"/>
      <c r="C33" s="55"/>
      <c r="D33" s="55"/>
      <c r="E33" s="55"/>
      <c r="F33" s="55"/>
      <c r="G33" s="55"/>
      <c r="H33" s="55"/>
      <c r="I33" s="55"/>
      <c r="J33" s="55"/>
    </row>
    <row r="34" ht="21.75" customHeight="1">
      <c r="A34" s="78"/>
      <c r="B34" s="55"/>
      <c r="C34" s="55"/>
      <c r="D34" s="55"/>
      <c r="E34" s="55"/>
      <c r="F34" s="55"/>
      <c r="G34" s="55"/>
      <c r="H34" s="55"/>
      <c r="I34" s="55"/>
      <c r="J34" s="55"/>
    </row>
    <row r="35" ht="21.75" customHeight="1">
      <c r="A35" s="78"/>
      <c r="B35" s="55"/>
      <c r="C35" s="55"/>
      <c r="D35" s="55"/>
      <c r="E35" s="55"/>
      <c r="F35" s="55"/>
      <c r="G35" s="55"/>
      <c r="H35" s="55"/>
      <c r="I35" s="55"/>
      <c r="J35" s="55"/>
    </row>
    <row r="36" ht="21.75" customHeight="1">
      <c r="A36" s="78"/>
      <c r="B36" s="55"/>
      <c r="C36" s="55"/>
      <c r="D36" s="55"/>
      <c r="E36" s="55"/>
      <c r="F36" s="55"/>
      <c r="G36" s="55"/>
      <c r="H36" s="55"/>
      <c r="I36" s="55"/>
      <c r="J36" s="55"/>
    </row>
    <row r="37" ht="21.75" customHeight="1">
      <c r="A37" s="78"/>
      <c r="B37" s="55"/>
      <c r="C37" s="55"/>
      <c r="D37" s="55"/>
      <c r="E37" s="55"/>
      <c r="F37" s="55"/>
      <c r="G37" s="55"/>
      <c r="H37" s="55"/>
      <c r="I37" s="55"/>
      <c r="J37" s="55"/>
    </row>
    <row r="38" ht="21.75" customHeight="1">
      <c r="A38" s="78"/>
      <c r="B38" s="55"/>
      <c r="C38" s="55"/>
      <c r="D38" s="55"/>
      <c r="E38" s="55"/>
      <c r="F38" s="55"/>
      <c r="G38" s="55"/>
      <c r="H38" s="55"/>
      <c r="I38" s="55"/>
      <c r="J38" s="55"/>
    </row>
    <row r="39" ht="21.75" customHeight="1">
      <c r="A39" s="78"/>
      <c r="B39" s="55"/>
      <c r="C39" s="55"/>
      <c r="D39" s="55"/>
      <c r="E39" s="55"/>
      <c r="F39" s="55"/>
      <c r="G39" s="55"/>
      <c r="H39" s="55"/>
      <c r="I39" s="55"/>
      <c r="J39" s="55"/>
    </row>
    <row r="40" ht="21.75" customHeight="1">
      <c r="A40" s="78"/>
      <c r="B40" s="55"/>
      <c r="C40" s="55"/>
      <c r="D40" s="55"/>
      <c r="E40" s="55"/>
      <c r="F40" s="55"/>
      <c r="G40" s="55"/>
      <c r="H40" s="55"/>
      <c r="I40" s="55"/>
      <c r="J40" s="55"/>
    </row>
    <row r="41" ht="21.75" customHeight="1">
      <c r="A41" s="78"/>
      <c r="B41" s="55"/>
      <c r="C41" s="55"/>
      <c r="D41" s="55"/>
      <c r="E41" s="55"/>
      <c r="F41" s="55"/>
      <c r="G41" s="55"/>
      <c r="H41" s="55"/>
      <c r="I41" s="55"/>
      <c r="J41" s="55"/>
    </row>
    <row r="42" ht="21.75" customHeight="1">
      <c r="A42" s="78"/>
      <c r="B42" s="55"/>
      <c r="C42" s="55"/>
      <c r="D42" s="55"/>
      <c r="E42" s="55"/>
      <c r="F42" s="55"/>
      <c r="G42" s="55"/>
      <c r="H42" s="55"/>
      <c r="I42" s="55"/>
      <c r="J42" s="55"/>
    </row>
    <row r="43" ht="21.75" customHeight="1">
      <c r="A43" s="78"/>
      <c r="B43" s="55"/>
      <c r="C43" s="55"/>
      <c r="D43" s="55"/>
      <c r="E43" s="55"/>
      <c r="F43" s="55"/>
      <c r="G43" s="55"/>
      <c r="H43" s="55"/>
      <c r="I43" s="55"/>
      <c r="J43" s="55"/>
    </row>
    <row r="44" ht="21.75" customHeight="1">
      <c r="A44" s="78"/>
      <c r="B44" s="55"/>
      <c r="C44" s="55"/>
      <c r="D44" s="55"/>
      <c r="E44" s="55"/>
      <c r="F44" s="55"/>
      <c r="G44" s="55"/>
      <c r="H44" s="55"/>
      <c r="I44" s="55"/>
      <c r="J44" s="55"/>
    </row>
    <row r="45" ht="21.75" customHeight="1">
      <c r="A45" s="78"/>
      <c r="B45" s="55"/>
      <c r="C45" s="55"/>
      <c r="D45" s="55"/>
      <c r="E45" s="55"/>
      <c r="F45" s="55"/>
      <c r="G45" s="55"/>
      <c r="H45" s="55"/>
      <c r="I45" s="55"/>
      <c r="J45" s="55"/>
    </row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8B863CB3-4C6E-4164-B85C-E64DA83AE8A7}" filter="1" showAutoFilter="1">
      <autoFilter ref="$A$5:$J$45"/>
    </customSheetView>
  </customSheetViews>
  <dataValidations>
    <dataValidation type="decimal" allowBlank="1" sqref="B6:F45">
      <formula1>10.0</formula1>
      <formula2>250.0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4.0"/>
    <col customWidth="1" min="2" max="2" width="20.0"/>
    <col customWidth="1" min="3" max="3" width="65.0"/>
    <col customWidth="1" min="4" max="4" width="75.0"/>
    <col customWidth="1" min="5" max="5" width="20.0"/>
    <col customWidth="1" min="6" max="6" width="23.0"/>
    <col customWidth="1" min="7" max="7" width="18.0"/>
    <col customWidth="1" min="8" max="8" width="65.0"/>
    <col customWidth="1" min="9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</row>
    <row r="2" ht="21.75" customHeight="1">
      <c r="A2" s="5" t="s">
        <v>361</v>
      </c>
      <c r="B2" s="4"/>
      <c r="C2" s="4"/>
      <c r="D2" s="4"/>
      <c r="E2" s="4"/>
      <c r="F2" s="4"/>
      <c r="G2" s="4"/>
      <c r="H2" s="4"/>
    </row>
    <row r="3" ht="21.75" customHeight="1">
      <c r="A3" s="6" t="s">
        <v>362</v>
      </c>
      <c r="B3" s="4"/>
      <c r="C3" s="4"/>
      <c r="D3" s="4"/>
      <c r="E3" s="4"/>
      <c r="F3" s="4"/>
      <c r="G3" s="4"/>
      <c r="H3" s="4"/>
    </row>
    <row r="4" ht="21.75" customHeight="1">
      <c r="A4" s="4"/>
      <c r="B4" s="4"/>
      <c r="C4" s="4"/>
      <c r="D4" s="4"/>
      <c r="E4" s="4"/>
      <c r="F4" s="4"/>
      <c r="G4" s="4"/>
      <c r="H4" s="4"/>
    </row>
    <row r="5" ht="37.5" customHeight="1">
      <c r="A5" s="46" t="s">
        <v>8</v>
      </c>
      <c r="B5" s="46" t="s">
        <v>363</v>
      </c>
      <c r="C5" s="46" t="s">
        <v>364</v>
      </c>
      <c r="D5" s="46" t="s">
        <v>365</v>
      </c>
      <c r="E5" s="46" t="s">
        <v>98</v>
      </c>
      <c r="F5" s="46" t="s">
        <v>15</v>
      </c>
      <c r="G5" s="46" t="s">
        <v>366</v>
      </c>
      <c r="H5" s="46" t="s">
        <v>367</v>
      </c>
    </row>
    <row r="6" ht="21.75" customHeight="1">
      <c r="A6" s="78">
        <v>46280.5</v>
      </c>
      <c r="B6" s="55" t="s">
        <v>368</v>
      </c>
      <c r="C6" s="55" t="s">
        <v>369</v>
      </c>
      <c r="D6" s="55" t="s">
        <v>370</v>
      </c>
      <c r="E6" s="55" t="s">
        <v>99</v>
      </c>
      <c r="F6" s="55" t="s">
        <v>371</v>
      </c>
      <c r="G6" s="78"/>
      <c r="H6" s="55"/>
    </row>
    <row r="7" ht="21.75" customHeight="1">
      <c r="A7" s="78">
        <v>46280.5</v>
      </c>
      <c r="B7" s="55" t="s">
        <v>372</v>
      </c>
      <c r="C7" s="55" t="s">
        <v>373</v>
      </c>
      <c r="D7" s="54" t="s">
        <v>374</v>
      </c>
      <c r="E7" s="55" t="s">
        <v>99</v>
      </c>
      <c r="F7" s="55" t="s">
        <v>371</v>
      </c>
      <c r="G7" s="78"/>
      <c r="H7" s="55"/>
    </row>
    <row r="8" ht="21.75" customHeight="1">
      <c r="A8" s="79">
        <v>46293.0</v>
      </c>
      <c r="B8" s="54" t="s">
        <v>375</v>
      </c>
      <c r="C8" s="54" t="s">
        <v>376</v>
      </c>
      <c r="D8" s="54" t="s">
        <v>377</v>
      </c>
      <c r="E8" s="54" t="s">
        <v>378</v>
      </c>
      <c r="F8" s="54" t="s">
        <v>379</v>
      </c>
      <c r="G8" s="78"/>
      <c r="H8" s="55"/>
    </row>
    <row r="9" ht="21.75" customHeight="1">
      <c r="A9" s="79">
        <v>46293.0</v>
      </c>
      <c r="B9" s="54" t="s">
        <v>380</v>
      </c>
      <c r="C9" s="54" t="s">
        <v>381</v>
      </c>
      <c r="D9" s="54" t="s">
        <v>382</v>
      </c>
      <c r="E9" s="54" t="s">
        <v>99</v>
      </c>
      <c r="F9" s="54" t="s">
        <v>379</v>
      </c>
      <c r="G9" s="78"/>
      <c r="H9" s="55"/>
    </row>
    <row r="10" ht="21.75" customHeight="1">
      <c r="A10" s="80" t="s">
        <v>383</v>
      </c>
      <c r="B10" s="54" t="s">
        <v>384</v>
      </c>
      <c r="C10" s="54" t="s">
        <v>385</v>
      </c>
      <c r="D10" s="54" t="s">
        <v>386</v>
      </c>
      <c r="E10" s="55"/>
      <c r="F10" s="55"/>
      <c r="G10" s="78"/>
      <c r="H10" s="55"/>
    </row>
    <row r="11" ht="21.75" customHeight="1">
      <c r="A11" s="78"/>
      <c r="B11" s="55"/>
      <c r="C11" s="55"/>
      <c r="D11" s="55"/>
      <c r="E11" s="55"/>
      <c r="F11" s="55"/>
      <c r="G11" s="78"/>
      <c r="H11" s="55"/>
    </row>
    <row r="12" ht="21.75" customHeight="1">
      <c r="A12" s="78"/>
      <c r="B12" s="55"/>
      <c r="C12" s="55"/>
      <c r="D12" s="55"/>
      <c r="E12" s="55"/>
      <c r="F12" s="55"/>
      <c r="G12" s="78"/>
      <c r="H12" s="55"/>
    </row>
    <row r="13" ht="21.75" customHeight="1">
      <c r="A13" s="78"/>
      <c r="B13" s="55"/>
      <c r="C13" s="55"/>
      <c r="D13" s="55"/>
      <c r="E13" s="55"/>
      <c r="F13" s="55"/>
      <c r="G13" s="78"/>
      <c r="H13" s="55"/>
    </row>
    <row r="14" ht="21.75" customHeight="1">
      <c r="A14" s="78"/>
      <c r="B14" s="55"/>
      <c r="C14" s="55"/>
      <c r="D14" s="55"/>
      <c r="E14" s="55"/>
      <c r="F14" s="55"/>
      <c r="G14" s="78"/>
      <c r="H14" s="55"/>
    </row>
    <row r="15" ht="21.75" customHeight="1">
      <c r="A15" s="78"/>
      <c r="B15" s="55"/>
      <c r="C15" s="55"/>
      <c r="D15" s="55"/>
      <c r="E15" s="55"/>
      <c r="F15" s="55"/>
      <c r="G15" s="78"/>
      <c r="H15" s="55"/>
    </row>
    <row r="16" ht="21.75" customHeight="1">
      <c r="A16" s="78"/>
      <c r="B16" s="55"/>
      <c r="C16" s="55"/>
      <c r="D16" s="55"/>
      <c r="E16" s="55"/>
      <c r="F16" s="55"/>
      <c r="G16" s="78"/>
      <c r="H16" s="55"/>
    </row>
    <row r="17" ht="21.75" customHeight="1">
      <c r="A17" s="78"/>
      <c r="B17" s="55"/>
      <c r="C17" s="55"/>
      <c r="D17" s="55"/>
      <c r="E17" s="55"/>
      <c r="F17" s="55"/>
      <c r="G17" s="78"/>
      <c r="H17" s="55"/>
    </row>
    <row r="18" ht="21.75" customHeight="1">
      <c r="A18" s="78"/>
      <c r="B18" s="55"/>
      <c r="C18" s="55"/>
      <c r="D18" s="55"/>
      <c r="E18" s="55"/>
      <c r="F18" s="55"/>
      <c r="G18" s="78"/>
      <c r="H18" s="55"/>
    </row>
    <row r="19" ht="21.75" customHeight="1">
      <c r="A19" s="78"/>
      <c r="B19" s="55"/>
      <c r="C19" s="55"/>
      <c r="D19" s="55"/>
      <c r="E19" s="55"/>
      <c r="F19" s="55"/>
      <c r="G19" s="78"/>
      <c r="H19" s="55"/>
    </row>
    <row r="20" ht="21.75" customHeight="1">
      <c r="A20" s="78"/>
      <c r="B20" s="55"/>
      <c r="C20" s="55"/>
      <c r="D20" s="55"/>
      <c r="E20" s="55"/>
      <c r="F20" s="55"/>
      <c r="G20" s="78"/>
      <c r="H20" s="55"/>
    </row>
    <row r="21" ht="21.75" customHeight="1">
      <c r="A21" s="78"/>
      <c r="B21" s="55"/>
      <c r="C21" s="55"/>
      <c r="D21" s="55"/>
      <c r="E21" s="55"/>
      <c r="F21" s="55"/>
      <c r="G21" s="78"/>
      <c r="H21" s="55"/>
    </row>
    <row r="22" ht="21.75" customHeight="1">
      <c r="A22" s="78"/>
      <c r="B22" s="55"/>
      <c r="C22" s="55"/>
      <c r="D22" s="55"/>
      <c r="E22" s="55"/>
      <c r="F22" s="55"/>
      <c r="G22" s="78"/>
      <c r="H22" s="55"/>
    </row>
    <row r="23" ht="21.75" customHeight="1">
      <c r="A23" s="78"/>
      <c r="B23" s="55"/>
      <c r="C23" s="55"/>
      <c r="D23" s="55"/>
      <c r="E23" s="55"/>
      <c r="F23" s="55"/>
      <c r="G23" s="78"/>
      <c r="H23" s="55"/>
    </row>
    <row r="24" ht="21.75" customHeight="1">
      <c r="A24" s="78"/>
      <c r="B24" s="55"/>
      <c r="C24" s="55"/>
      <c r="D24" s="55"/>
      <c r="E24" s="55"/>
      <c r="F24" s="55"/>
      <c r="G24" s="78"/>
      <c r="H24" s="55"/>
    </row>
    <row r="25" ht="21.75" customHeight="1">
      <c r="A25" s="78"/>
      <c r="B25" s="55"/>
      <c r="C25" s="55"/>
      <c r="D25" s="55"/>
      <c r="E25" s="55"/>
      <c r="F25" s="55"/>
      <c r="G25" s="78"/>
      <c r="H25" s="55"/>
    </row>
    <row r="26" ht="21.75" customHeight="1">
      <c r="A26" s="78"/>
      <c r="B26" s="55"/>
      <c r="C26" s="55"/>
      <c r="D26" s="55"/>
      <c r="E26" s="55"/>
      <c r="F26" s="55"/>
      <c r="G26" s="78"/>
      <c r="H26" s="55"/>
    </row>
    <row r="27" ht="21.75" customHeight="1">
      <c r="A27" s="78"/>
      <c r="B27" s="55"/>
      <c r="C27" s="55"/>
      <c r="D27" s="55"/>
      <c r="E27" s="55"/>
      <c r="F27" s="55"/>
      <c r="G27" s="78"/>
      <c r="H27" s="55"/>
    </row>
    <row r="28" ht="21.75" customHeight="1">
      <c r="A28" s="78"/>
      <c r="B28" s="55"/>
      <c r="C28" s="55"/>
      <c r="D28" s="55"/>
      <c r="E28" s="55"/>
      <c r="F28" s="55"/>
      <c r="G28" s="78"/>
      <c r="H28" s="55"/>
    </row>
    <row r="29" ht="21.75" customHeight="1">
      <c r="A29" s="78"/>
      <c r="B29" s="55"/>
      <c r="C29" s="55"/>
      <c r="D29" s="55"/>
      <c r="E29" s="55"/>
      <c r="F29" s="55"/>
      <c r="G29" s="78"/>
      <c r="H29" s="55"/>
    </row>
    <row r="30" ht="21.75" customHeight="1">
      <c r="A30" s="78"/>
      <c r="B30" s="55"/>
      <c r="C30" s="55"/>
      <c r="D30" s="55"/>
      <c r="E30" s="55"/>
      <c r="F30" s="55"/>
      <c r="G30" s="78"/>
      <c r="H30" s="55"/>
    </row>
    <row r="31" ht="21.75" customHeight="1">
      <c r="A31" s="78"/>
      <c r="B31" s="55"/>
      <c r="C31" s="55"/>
      <c r="D31" s="55"/>
      <c r="E31" s="55"/>
      <c r="F31" s="55"/>
      <c r="G31" s="78"/>
      <c r="H31" s="55"/>
    </row>
    <row r="32" ht="21.75" customHeight="1">
      <c r="A32" s="78"/>
      <c r="B32" s="55"/>
      <c r="C32" s="55"/>
      <c r="D32" s="55"/>
      <c r="E32" s="55"/>
      <c r="F32" s="55"/>
      <c r="G32" s="78"/>
      <c r="H32" s="55"/>
    </row>
    <row r="33" ht="21.75" customHeight="1">
      <c r="A33" s="78"/>
      <c r="B33" s="55"/>
      <c r="C33" s="55"/>
      <c r="D33" s="55"/>
      <c r="E33" s="55"/>
      <c r="F33" s="55"/>
      <c r="G33" s="78"/>
      <c r="H33" s="55"/>
    </row>
    <row r="34" ht="21.75" customHeight="1">
      <c r="A34" s="78"/>
      <c r="B34" s="55"/>
      <c r="C34" s="55"/>
      <c r="D34" s="55"/>
      <c r="E34" s="55"/>
      <c r="F34" s="55"/>
      <c r="G34" s="78"/>
      <c r="H34" s="55"/>
    </row>
    <row r="35" ht="21.75" customHeight="1">
      <c r="A35" s="78"/>
      <c r="B35" s="55"/>
      <c r="C35" s="55"/>
      <c r="D35" s="55"/>
      <c r="E35" s="55"/>
      <c r="F35" s="55"/>
      <c r="G35" s="78"/>
      <c r="H35" s="55"/>
    </row>
    <row r="36" ht="21.75" customHeight="1">
      <c r="A36" s="78"/>
      <c r="B36" s="55"/>
      <c r="C36" s="55"/>
      <c r="D36" s="55"/>
      <c r="E36" s="55"/>
      <c r="F36" s="55"/>
      <c r="G36" s="78"/>
      <c r="H36" s="55"/>
    </row>
    <row r="37" ht="21.75" customHeight="1">
      <c r="A37" s="78"/>
      <c r="B37" s="55"/>
      <c r="C37" s="55"/>
      <c r="D37" s="55"/>
      <c r="E37" s="55"/>
      <c r="F37" s="55"/>
      <c r="G37" s="78"/>
      <c r="H37" s="55"/>
    </row>
    <row r="38" ht="21.75" customHeight="1">
      <c r="A38" s="78"/>
      <c r="B38" s="55"/>
      <c r="C38" s="55"/>
      <c r="D38" s="55"/>
      <c r="E38" s="55"/>
      <c r="F38" s="55"/>
      <c r="G38" s="78"/>
      <c r="H38" s="55"/>
    </row>
    <row r="39" ht="21.75" customHeight="1">
      <c r="A39" s="78"/>
      <c r="B39" s="55"/>
      <c r="C39" s="55"/>
      <c r="D39" s="55"/>
      <c r="E39" s="55"/>
      <c r="F39" s="55"/>
      <c r="G39" s="78"/>
      <c r="H39" s="55"/>
    </row>
    <row r="40" ht="21.75" customHeight="1">
      <c r="A40" s="78"/>
      <c r="B40" s="55"/>
      <c r="C40" s="55"/>
      <c r="D40" s="55"/>
      <c r="E40" s="55"/>
      <c r="F40" s="55"/>
      <c r="G40" s="78"/>
      <c r="H40" s="55"/>
    </row>
    <row r="41" ht="21.75" customHeight="1">
      <c r="A41" s="78"/>
      <c r="B41" s="55"/>
      <c r="C41" s="55"/>
      <c r="D41" s="55"/>
      <c r="E41" s="55"/>
      <c r="F41" s="55"/>
      <c r="G41" s="78"/>
      <c r="H41" s="55"/>
    </row>
    <row r="42" ht="21.75" customHeight="1">
      <c r="A42" s="78"/>
      <c r="B42" s="55"/>
      <c r="C42" s="55"/>
      <c r="D42" s="55"/>
      <c r="E42" s="55"/>
      <c r="F42" s="55"/>
      <c r="G42" s="78"/>
      <c r="H42" s="55"/>
    </row>
    <row r="43" ht="21.75" customHeight="1">
      <c r="A43" s="78"/>
      <c r="B43" s="55"/>
      <c r="C43" s="55"/>
      <c r="D43" s="55"/>
      <c r="E43" s="55"/>
      <c r="F43" s="55"/>
      <c r="G43" s="78"/>
      <c r="H43" s="55"/>
    </row>
    <row r="44" ht="21.75" customHeight="1">
      <c r="A44" s="78"/>
      <c r="B44" s="55"/>
      <c r="C44" s="55"/>
      <c r="D44" s="55"/>
      <c r="E44" s="55"/>
      <c r="F44" s="55"/>
      <c r="G44" s="78"/>
      <c r="H44" s="55"/>
    </row>
    <row r="45" ht="21.75" customHeight="1">
      <c r="A45" s="78"/>
      <c r="B45" s="55"/>
      <c r="C45" s="55"/>
      <c r="D45" s="55"/>
      <c r="E45" s="55"/>
      <c r="F45" s="55"/>
      <c r="G45" s="78"/>
      <c r="H45" s="55"/>
    </row>
    <row r="46" ht="21.75" customHeight="1">
      <c r="A46" s="78"/>
      <c r="B46" s="55"/>
      <c r="C46" s="55"/>
      <c r="D46" s="55"/>
      <c r="E46" s="55"/>
      <c r="F46" s="55"/>
      <c r="G46" s="78"/>
      <c r="H46" s="55"/>
    </row>
    <row r="47" ht="21.75" customHeight="1">
      <c r="A47" s="78"/>
      <c r="B47" s="55"/>
      <c r="C47" s="55"/>
      <c r="D47" s="55"/>
      <c r="E47" s="55"/>
      <c r="F47" s="55"/>
      <c r="G47" s="78"/>
      <c r="H47" s="55"/>
    </row>
    <row r="48" ht="21.75" customHeight="1">
      <c r="A48" s="78"/>
      <c r="B48" s="55"/>
      <c r="C48" s="55"/>
      <c r="D48" s="55"/>
      <c r="E48" s="55"/>
      <c r="F48" s="55"/>
      <c r="G48" s="78"/>
      <c r="H48" s="55"/>
    </row>
    <row r="49" ht="21.75" customHeight="1">
      <c r="A49" s="78"/>
      <c r="B49" s="55"/>
      <c r="C49" s="55"/>
      <c r="D49" s="55"/>
      <c r="E49" s="55"/>
      <c r="F49" s="55"/>
      <c r="G49" s="78"/>
      <c r="H49" s="55"/>
    </row>
    <row r="50" ht="21.75" customHeight="1">
      <c r="A50" s="78"/>
      <c r="B50" s="55"/>
      <c r="C50" s="55"/>
      <c r="D50" s="55"/>
      <c r="E50" s="55"/>
      <c r="F50" s="55"/>
      <c r="G50" s="78"/>
      <c r="H50" s="55"/>
    </row>
    <row r="51" ht="21.75" customHeight="1">
      <c r="A51" s="78"/>
      <c r="B51" s="55"/>
      <c r="C51" s="55"/>
      <c r="D51" s="55"/>
      <c r="E51" s="55"/>
      <c r="F51" s="55"/>
      <c r="G51" s="78"/>
      <c r="H51" s="55"/>
    </row>
    <row r="52" ht="21.75" customHeight="1">
      <c r="A52" s="78"/>
      <c r="B52" s="55"/>
      <c r="C52" s="55"/>
      <c r="D52" s="55"/>
      <c r="E52" s="55"/>
      <c r="F52" s="55"/>
      <c r="G52" s="78"/>
      <c r="H52" s="55"/>
    </row>
    <row r="53" ht="21.75" customHeight="1">
      <c r="A53" s="78"/>
      <c r="B53" s="55"/>
      <c r="C53" s="55"/>
      <c r="D53" s="55"/>
      <c r="E53" s="55"/>
      <c r="F53" s="55"/>
      <c r="G53" s="78"/>
      <c r="H53" s="55"/>
    </row>
    <row r="54" ht="21.75" customHeight="1">
      <c r="A54" s="78"/>
      <c r="B54" s="55"/>
      <c r="C54" s="55"/>
      <c r="D54" s="55"/>
      <c r="E54" s="55"/>
      <c r="F54" s="55"/>
      <c r="G54" s="78"/>
      <c r="H54" s="55"/>
    </row>
    <row r="55" ht="21.75" customHeight="1">
      <c r="A55" s="78"/>
      <c r="B55" s="55"/>
      <c r="C55" s="55"/>
      <c r="D55" s="55"/>
      <c r="E55" s="55"/>
      <c r="F55" s="55"/>
      <c r="G55" s="78"/>
      <c r="H55" s="5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D0D4E30B-72AE-4D89-B522-6259D7B90184}" filter="1" showAutoFilter="1">
      <autoFilter ref="$A$5:$H$55"/>
    </customSheetView>
  </customSheetViews>
  <dataValidations>
    <dataValidation type="list" allowBlank="1" sqref="F6:F55">
      <formula1>"A revisar,Aprovado,Em teste,Concluído,Descartado"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5.0"/>
    <col customWidth="1" min="2" max="2" width="12.0"/>
    <col customWidth="1" min="3" max="3" width="10.0"/>
    <col customWidth="1" min="4" max="4" width="12.0"/>
    <col customWidth="1" min="5" max="5" width="13.0"/>
    <col customWidth="1" min="6" max="6" width="15.0"/>
    <col customWidth="1" min="7" max="7" width="13.0"/>
    <col customWidth="1" min="8" max="8" width="12.0"/>
    <col customWidth="1" min="9" max="9" width="24.0"/>
    <col customWidth="1" min="10" max="10" width="53.0"/>
    <col customWidth="1" min="11" max="11" width="42.0"/>
    <col customWidth="1" min="12" max="12" width="22.0"/>
    <col customWidth="1" min="13" max="26" width="8.63"/>
  </cols>
  <sheetData>
    <row r="1" ht="21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21.75" customHeight="1">
      <c r="A2" s="5" t="s">
        <v>387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1.75" customHeight="1">
      <c r="A3" s="45" t="s">
        <v>388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37.5" customHeight="1">
      <c r="A5" s="49" t="s">
        <v>389</v>
      </c>
      <c r="B5" s="49" t="s">
        <v>390</v>
      </c>
      <c r="C5" s="49" t="s">
        <v>243</v>
      </c>
      <c r="D5" s="49" t="s">
        <v>116</v>
      </c>
      <c r="E5" s="49" t="s">
        <v>157</v>
      </c>
      <c r="F5" s="49" t="s">
        <v>231</v>
      </c>
      <c r="G5" s="49" t="s">
        <v>161</v>
      </c>
      <c r="H5" s="49" t="s">
        <v>232</v>
      </c>
      <c r="I5" s="49" t="s">
        <v>391</v>
      </c>
      <c r="J5" s="49" t="s">
        <v>392</v>
      </c>
      <c r="K5" s="49" t="s">
        <v>393</v>
      </c>
      <c r="L5" s="49" t="s">
        <v>394</v>
      </c>
      <c r="M5" s="81" t="s">
        <v>395</v>
      </c>
      <c r="N5" s="51" t="s">
        <v>396</v>
      </c>
      <c r="O5" s="51" t="s">
        <v>397</v>
      </c>
    </row>
    <row r="6" ht="21.75" customHeight="1">
      <c r="A6" s="55" t="s">
        <v>259</v>
      </c>
      <c r="B6" s="55" t="s">
        <v>121</v>
      </c>
      <c r="C6" s="82">
        <v>100.0</v>
      </c>
      <c r="D6" s="82">
        <v>146.0</v>
      </c>
      <c r="E6" s="82">
        <v>13.3</v>
      </c>
      <c r="F6" s="82">
        <v>0.6</v>
      </c>
      <c r="G6" s="82">
        <v>9.5</v>
      </c>
      <c r="H6" s="82">
        <v>0.0</v>
      </c>
      <c r="I6" s="55" t="s">
        <v>398</v>
      </c>
      <c r="J6" s="55" t="s">
        <v>399</v>
      </c>
      <c r="K6" s="55" t="s">
        <v>400</v>
      </c>
      <c r="L6" s="71" t="str">
        <f t="shared" ref="L6:L115" si="1">IF(A6="","",IF(AND(ISNUMBER(C6),C6&gt;0,COUNT(D6:H6)=5),"OK","Rever macros"))</f>
        <v>OK</v>
      </c>
      <c r="M6" s="83" t="s">
        <v>401</v>
      </c>
      <c r="N6" s="57">
        <v>50.0</v>
      </c>
      <c r="O6" s="57" t="s">
        <v>402</v>
      </c>
    </row>
    <row r="7" ht="21.75" customHeight="1">
      <c r="A7" s="55" t="s">
        <v>254</v>
      </c>
      <c r="B7" s="55" t="s">
        <v>121</v>
      </c>
      <c r="C7" s="82">
        <v>100.0</v>
      </c>
      <c r="D7" s="82">
        <v>163.0</v>
      </c>
      <c r="E7" s="82">
        <v>31.5</v>
      </c>
      <c r="F7" s="82">
        <v>0.0</v>
      </c>
      <c r="G7" s="82">
        <v>3.2</v>
      </c>
      <c r="H7" s="82">
        <v>0.0</v>
      </c>
      <c r="I7" s="55" t="s">
        <v>398</v>
      </c>
      <c r="J7" s="55" t="s">
        <v>403</v>
      </c>
      <c r="K7" s="55" t="s">
        <v>400</v>
      </c>
      <c r="L7" s="71" t="str">
        <f t="shared" si="1"/>
        <v>OK</v>
      </c>
      <c r="M7" s="84"/>
      <c r="O7" s="57" t="s">
        <v>402</v>
      </c>
    </row>
    <row r="8" ht="21.75" customHeight="1">
      <c r="A8" s="55" t="s">
        <v>274</v>
      </c>
      <c r="B8" s="55" t="s">
        <v>121</v>
      </c>
      <c r="C8" s="82">
        <v>100.0</v>
      </c>
      <c r="D8" s="82">
        <v>128.0</v>
      </c>
      <c r="E8" s="82">
        <v>2.5</v>
      </c>
      <c r="F8" s="82">
        <v>28.1</v>
      </c>
      <c r="G8" s="82">
        <v>0.2</v>
      </c>
      <c r="H8" s="82">
        <v>1.6</v>
      </c>
      <c r="I8" s="55" t="s">
        <v>398</v>
      </c>
      <c r="J8" s="55" t="s">
        <v>403</v>
      </c>
      <c r="K8" s="55" t="s">
        <v>400</v>
      </c>
      <c r="L8" s="71" t="str">
        <f t="shared" si="1"/>
        <v>OK</v>
      </c>
      <c r="M8" s="84"/>
      <c r="O8" s="57" t="s">
        <v>402</v>
      </c>
    </row>
    <row r="9" ht="21.75" customHeight="1">
      <c r="A9" s="55" t="s">
        <v>278</v>
      </c>
      <c r="B9" s="55" t="s">
        <v>121</v>
      </c>
      <c r="C9" s="82">
        <v>100.0</v>
      </c>
      <c r="D9" s="82">
        <v>76.0</v>
      </c>
      <c r="E9" s="82">
        <v>4.8</v>
      </c>
      <c r="F9" s="82">
        <v>13.6</v>
      </c>
      <c r="G9" s="82">
        <v>0.5</v>
      </c>
      <c r="H9" s="82">
        <v>8.5</v>
      </c>
      <c r="I9" s="55" t="s">
        <v>398</v>
      </c>
      <c r="J9" s="55" t="s">
        <v>404</v>
      </c>
      <c r="K9" s="55" t="s">
        <v>400</v>
      </c>
      <c r="L9" s="71" t="str">
        <f t="shared" si="1"/>
        <v>OK</v>
      </c>
      <c r="M9" s="84"/>
      <c r="O9" s="57" t="s">
        <v>402</v>
      </c>
    </row>
    <row r="10" ht="21.75" customHeight="1">
      <c r="A10" s="55" t="s">
        <v>261</v>
      </c>
      <c r="B10" s="55" t="s">
        <v>121</v>
      </c>
      <c r="C10" s="82">
        <v>100.0</v>
      </c>
      <c r="D10" s="82">
        <v>253.0</v>
      </c>
      <c r="E10" s="82">
        <v>9.4</v>
      </c>
      <c r="F10" s="82">
        <v>49.9</v>
      </c>
      <c r="G10" s="82">
        <v>3.7</v>
      </c>
      <c r="H10" s="82">
        <v>6.9</v>
      </c>
      <c r="I10" s="55" t="s">
        <v>398</v>
      </c>
      <c r="J10" s="55" t="s">
        <v>405</v>
      </c>
      <c r="K10" s="55" t="s">
        <v>400</v>
      </c>
      <c r="L10" s="71" t="str">
        <f t="shared" si="1"/>
        <v>OK</v>
      </c>
      <c r="M10" s="83" t="s">
        <v>406</v>
      </c>
      <c r="N10" s="57">
        <v>25.0</v>
      </c>
      <c r="O10" s="57" t="s">
        <v>402</v>
      </c>
    </row>
    <row r="11" ht="21.75" customHeight="1">
      <c r="A11" s="55" t="s">
        <v>267</v>
      </c>
      <c r="B11" s="55" t="s">
        <v>121</v>
      </c>
      <c r="C11" s="82">
        <v>100.0</v>
      </c>
      <c r="D11" s="82">
        <v>92.0</v>
      </c>
      <c r="E11" s="82">
        <v>1.4</v>
      </c>
      <c r="F11" s="82">
        <v>23.8</v>
      </c>
      <c r="G11" s="82">
        <v>0.1</v>
      </c>
      <c r="H11" s="82">
        <v>1.9</v>
      </c>
      <c r="I11" s="55" t="s">
        <v>398</v>
      </c>
      <c r="J11" s="55" t="s">
        <v>435</v>
      </c>
      <c r="K11" s="55" t="s">
        <v>400</v>
      </c>
      <c r="L11" s="71" t="str">
        <f t="shared" si="1"/>
        <v>OK</v>
      </c>
      <c r="M11" s="84"/>
      <c r="O11" s="57" t="s">
        <v>402</v>
      </c>
    </row>
    <row r="12" ht="21.75" customHeight="1">
      <c r="A12" s="55" t="s">
        <v>312</v>
      </c>
      <c r="B12" s="55" t="s">
        <v>121</v>
      </c>
      <c r="C12" s="82">
        <v>100.0</v>
      </c>
      <c r="D12" s="82">
        <v>394.0</v>
      </c>
      <c r="E12" s="82">
        <v>13.9</v>
      </c>
      <c r="F12" s="82">
        <v>66.6</v>
      </c>
      <c r="G12" s="82">
        <v>8.5</v>
      </c>
      <c r="H12" s="82">
        <v>9.1</v>
      </c>
      <c r="I12" s="55" t="s">
        <v>398</v>
      </c>
      <c r="J12" s="55" t="s">
        <v>467</v>
      </c>
      <c r="K12" s="55" t="s">
        <v>400</v>
      </c>
      <c r="L12" s="71" t="str">
        <f t="shared" si="1"/>
        <v>OK</v>
      </c>
      <c r="M12" s="84"/>
      <c r="O12" s="57" t="s">
        <v>402</v>
      </c>
    </row>
    <row r="13" ht="21.75" customHeight="1">
      <c r="A13" s="55" t="s">
        <v>271</v>
      </c>
      <c r="B13" s="55" t="s">
        <v>468</v>
      </c>
      <c r="C13" s="82">
        <v>100.0</v>
      </c>
      <c r="D13" s="82">
        <v>61.0</v>
      </c>
      <c r="E13" s="82">
        <v>3.2</v>
      </c>
      <c r="F13" s="82">
        <v>4.7</v>
      </c>
      <c r="G13" s="82">
        <v>3.3</v>
      </c>
      <c r="H13" s="82">
        <v>0.0</v>
      </c>
      <c r="I13" s="55" t="s">
        <v>469</v>
      </c>
      <c r="J13" s="55" t="s">
        <v>470</v>
      </c>
      <c r="K13" s="55" t="s">
        <v>471</v>
      </c>
      <c r="L13" s="71" t="str">
        <f t="shared" si="1"/>
        <v>OK</v>
      </c>
      <c r="M13" s="84"/>
      <c r="O13" s="57" t="s">
        <v>472</v>
      </c>
    </row>
    <row r="14" ht="21.75" customHeight="1">
      <c r="A14" s="55" t="s">
        <v>276</v>
      </c>
      <c r="B14" s="55" t="s">
        <v>121</v>
      </c>
      <c r="C14" s="82">
        <v>30.0</v>
      </c>
      <c r="D14" s="82">
        <v>120.0</v>
      </c>
      <c r="E14" s="82">
        <v>23.0</v>
      </c>
      <c r="F14" s="82">
        <v>4.0</v>
      </c>
      <c r="G14" s="82">
        <v>1.3</v>
      </c>
      <c r="H14" s="82">
        <v>0.0</v>
      </c>
      <c r="I14" s="55" t="s">
        <v>469</v>
      </c>
      <c r="J14" s="55" t="s">
        <v>473</v>
      </c>
      <c r="K14" s="55" t="s">
        <v>471</v>
      </c>
      <c r="L14" s="71" t="str">
        <f t="shared" si="1"/>
        <v>OK</v>
      </c>
      <c r="M14" s="84"/>
      <c r="O14" s="57" t="s">
        <v>472</v>
      </c>
    </row>
    <row r="15" ht="21.75" customHeight="1">
      <c r="A15" s="55" t="s">
        <v>284</v>
      </c>
      <c r="B15" s="55" t="s">
        <v>121</v>
      </c>
      <c r="C15" s="82">
        <v>100.0</v>
      </c>
      <c r="D15" s="82">
        <v>884.0</v>
      </c>
      <c r="E15" s="82">
        <v>0.0</v>
      </c>
      <c r="F15" s="82">
        <v>0.0</v>
      </c>
      <c r="G15" s="82">
        <v>100.0</v>
      </c>
      <c r="H15" s="82">
        <v>0.0</v>
      </c>
      <c r="I15" s="55" t="s">
        <v>398</v>
      </c>
      <c r="J15" s="55" t="s">
        <v>474</v>
      </c>
      <c r="K15" s="55" t="s">
        <v>400</v>
      </c>
      <c r="L15" s="71" t="str">
        <f t="shared" si="1"/>
        <v>OK</v>
      </c>
      <c r="M15" s="84"/>
      <c r="O15" s="57" t="s">
        <v>402</v>
      </c>
    </row>
    <row r="16" ht="21.75" customHeight="1">
      <c r="A16" s="55" t="s">
        <v>281</v>
      </c>
      <c r="B16" s="55" t="s">
        <v>121</v>
      </c>
      <c r="C16" s="82">
        <v>100.0</v>
      </c>
      <c r="D16" s="82">
        <v>30.0</v>
      </c>
      <c r="E16" s="82">
        <v>0.8</v>
      </c>
      <c r="F16" s="82">
        <v>6.7</v>
      </c>
      <c r="G16" s="82">
        <v>0.2</v>
      </c>
      <c r="H16" s="82">
        <v>2.6</v>
      </c>
      <c r="I16" s="55" t="s">
        <v>398</v>
      </c>
      <c r="J16" s="55" t="s">
        <v>475</v>
      </c>
      <c r="K16" s="55" t="s">
        <v>400</v>
      </c>
      <c r="L16" s="71" t="str">
        <f t="shared" si="1"/>
        <v>OK</v>
      </c>
      <c r="M16" s="84"/>
      <c r="O16" s="57" t="s">
        <v>402</v>
      </c>
    </row>
    <row r="17" ht="21.75" customHeight="1">
      <c r="A17" s="55" t="s">
        <v>287</v>
      </c>
      <c r="B17" s="55" t="s">
        <v>121</v>
      </c>
      <c r="C17" s="82">
        <v>100.0</v>
      </c>
      <c r="D17" s="82">
        <v>37.0</v>
      </c>
      <c r="E17" s="82">
        <v>1.0</v>
      </c>
      <c r="F17" s="82">
        <v>8.9</v>
      </c>
      <c r="G17" s="82">
        <v>0.1</v>
      </c>
      <c r="H17" s="82">
        <v>0.8</v>
      </c>
      <c r="I17" s="55" t="s">
        <v>398</v>
      </c>
      <c r="J17" s="55" t="s">
        <v>476</v>
      </c>
      <c r="K17" s="55" t="s">
        <v>400</v>
      </c>
      <c r="L17" s="71" t="str">
        <f t="shared" si="1"/>
        <v>OK</v>
      </c>
      <c r="M17" s="84"/>
      <c r="O17" s="57" t="s">
        <v>402</v>
      </c>
    </row>
    <row r="18" ht="21.75" customHeight="1">
      <c r="A18" s="55" t="s">
        <v>308</v>
      </c>
      <c r="B18" s="55" t="s">
        <v>121</v>
      </c>
      <c r="C18" s="82">
        <v>100.0</v>
      </c>
      <c r="D18" s="82">
        <v>52.0</v>
      </c>
      <c r="E18" s="82">
        <v>1.2</v>
      </c>
      <c r="F18" s="82">
        <v>11.9</v>
      </c>
      <c r="G18" s="82">
        <v>0.0</v>
      </c>
      <c r="H18" s="82">
        <v>1.3</v>
      </c>
      <c r="I18" s="55" t="s">
        <v>398</v>
      </c>
      <c r="J18" s="55" t="s">
        <v>480</v>
      </c>
      <c r="K18" s="55" t="s">
        <v>400</v>
      </c>
      <c r="L18" s="71" t="str">
        <f t="shared" si="1"/>
        <v>OK</v>
      </c>
      <c r="M18" s="84"/>
      <c r="O18" s="57" t="s">
        <v>402</v>
      </c>
    </row>
    <row r="19" ht="21.75" customHeight="1">
      <c r="A19" s="55" t="s">
        <v>310</v>
      </c>
      <c r="B19" s="55" t="s">
        <v>121</v>
      </c>
      <c r="C19" s="82">
        <v>100.0</v>
      </c>
      <c r="D19" s="82">
        <v>77.0</v>
      </c>
      <c r="E19" s="82">
        <v>0.6</v>
      </c>
      <c r="F19" s="82">
        <v>18.4</v>
      </c>
      <c r="G19" s="82">
        <v>0.1</v>
      </c>
      <c r="H19" s="82">
        <v>2.2</v>
      </c>
      <c r="I19" s="55" t="s">
        <v>398</v>
      </c>
      <c r="J19" s="55" t="s">
        <v>480</v>
      </c>
      <c r="K19" s="55" t="s">
        <v>400</v>
      </c>
      <c r="L19" s="71" t="str">
        <f t="shared" si="1"/>
        <v>OK</v>
      </c>
      <c r="M19" s="84"/>
      <c r="O19" s="57" t="s">
        <v>402</v>
      </c>
    </row>
    <row r="20" ht="21.75" customHeight="1">
      <c r="A20" s="55" t="s">
        <v>488</v>
      </c>
      <c r="B20" s="55" t="s">
        <v>121</v>
      </c>
      <c r="C20" s="82">
        <v>100.0</v>
      </c>
      <c r="D20" s="82">
        <v>51.0</v>
      </c>
      <c r="E20" s="82">
        <v>4.1</v>
      </c>
      <c r="F20" s="82">
        <v>1.9</v>
      </c>
      <c r="G20" s="82">
        <v>3.0</v>
      </c>
      <c r="H20" s="82">
        <v>0.0</v>
      </c>
      <c r="I20" s="55" t="s">
        <v>398</v>
      </c>
      <c r="J20" s="55" t="s">
        <v>490</v>
      </c>
      <c r="K20" s="55" t="s">
        <v>400</v>
      </c>
      <c r="L20" s="71" t="str">
        <f t="shared" si="1"/>
        <v>OK</v>
      </c>
      <c r="M20" s="84"/>
      <c r="O20" s="57" t="s">
        <v>402</v>
      </c>
    </row>
    <row r="21" ht="21.75" customHeight="1">
      <c r="A21" s="55" t="s">
        <v>269</v>
      </c>
      <c r="B21" s="55" t="s">
        <v>121</v>
      </c>
      <c r="C21" s="82">
        <v>100.0</v>
      </c>
      <c r="D21" s="82">
        <v>264.0</v>
      </c>
      <c r="E21" s="82">
        <v>17.4</v>
      </c>
      <c r="F21" s="82">
        <v>3.2</v>
      </c>
      <c r="G21" s="82">
        <v>20.2</v>
      </c>
      <c r="H21" s="82">
        <v>0.0</v>
      </c>
      <c r="I21" s="55" t="s">
        <v>398</v>
      </c>
      <c r="J21" s="55" t="s">
        <v>497</v>
      </c>
      <c r="K21" s="55" t="s">
        <v>400</v>
      </c>
      <c r="L21" s="71" t="str">
        <f t="shared" si="1"/>
        <v>OK</v>
      </c>
      <c r="M21" s="84"/>
      <c r="O21" s="57" t="s">
        <v>402</v>
      </c>
    </row>
    <row r="22" ht="21.75" customHeight="1">
      <c r="A22" s="55" t="s">
        <v>304</v>
      </c>
      <c r="B22" s="55" t="s">
        <v>121</v>
      </c>
      <c r="C22" s="82">
        <v>100.0</v>
      </c>
      <c r="D22" s="82">
        <v>59.0</v>
      </c>
      <c r="E22" s="82">
        <v>13.4</v>
      </c>
      <c r="F22" s="82">
        <v>0.0</v>
      </c>
      <c r="G22" s="82">
        <v>0.1</v>
      </c>
      <c r="H22" s="82">
        <v>0.0</v>
      </c>
      <c r="I22" s="55" t="s">
        <v>398</v>
      </c>
      <c r="J22" s="55" t="s">
        <v>500</v>
      </c>
      <c r="K22" s="55" t="s">
        <v>400</v>
      </c>
      <c r="L22" s="71" t="str">
        <f t="shared" si="1"/>
        <v>OK</v>
      </c>
      <c r="M22" s="84"/>
      <c r="O22" s="57" t="s">
        <v>402</v>
      </c>
    </row>
    <row r="23" ht="21.75" customHeight="1">
      <c r="A23" s="55" t="s">
        <v>285</v>
      </c>
      <c r="B23" s="55" t="s">
        <v>121</v>
      </c>
      <c r="C23" s="82">
        <v>100.0</v>
      </c>
      <c r="D23" s="82">
        <v>122.0</v>
      </c>
      <c r="E23" s="82">
        <v>26.6</v>
      </c>
      <c r="F23" s="82">
        <v>0.0</v>
      </c>
      <c r="G23" s="82">
        <v>0.9</v>
      </c>
      <c r="H23" s="82">
        <v>0.0</v>
      </c>
      <c r="I23" s="55" t="s">
        <v>398</v>
      </c>
      <c r="J23" s="55" t="s">
        <v>504</v>
      </c>
      <c r="K23" s="55" t="s">
        <v>400</v>
      </c>
      <c r="L23" s="71" t="str">
        <f t="shared" si="1"/>
        <v>OK</v>
      </c>
      <c r="M23" s="84"/>
      <c r="O23" s="57" t="s">
        <v>402</v>
      </c>
    </row>
    <row r="24" ht="21.75" customHeight="1">
      <c r="A24" s="55" t="s">
        <v>316</v>
      </c>
      <c r="B24" s="55" t="s">
        <v>121</v>
      </c>
      <c r="C24" s="82">
        <v>100.0</v>
      </c>
      <c r="D24" s="82">
        <v>77.0</v>
      </c>
      <c r="E24" s="82">
        <v>4.5</v>
      </c>
      <c r="F24" s="82">
        <v>14.0</v>
      </c>
      <c r="G24" s="82">
        <v>0.5</v>
      </c>
      <c r="H24" s="82">
        <v>8.4</v>
      </c>
      <c r="I24" s="55" t="s">
        <v>398</v>
      </c>
      <c r="J24" s="55" t="s">
        <v>404</v>
      </c>
      <c r="K24" s="55" t="s">
        <v>400</v>
      </c>
      <c r="L24" s="71" t="str">
        <f t="shared" si="1"/>
        <v>OK</v>
      </c>
      <c r="M24" s="84"/>
      <c r="O24" s="57" t="s">
        <v>402</v>
      </c>
    </row>
    <row r="25" ht="21.75" customHeight="1">
      <c r="A25" s="55" t="s">
        <v>317</v>
      </c>
      <c r="B25" s="55" t="s">
        <v>121</v>
      </c>
      <c r="C25" s="82">
        <v>100.0</v>
      </c>
      <c r="D25" s="82">
        <v>93.0</v>
      </c>
      <c r="E25" s="82">
        <v>6.3</v>
      </c>
      <c r="F25" s="82">
        <v>16.3</v>
      </c>
      <c r="G25" s="82">
        <v>0.5</v>
      </c>
      <c r="H25" s="82">
        <v>7.9</v>
      </c>
      <c r="I25" s="55" t="s">
        <v>398</v>
      </c>
      <c r="J25" s="55" t="s">
        <v>480</v>
      </c>
      <c r="K25" s="55" t="s">
        <v>400</v>
      </c>
      <c r="L25" s="71" t="str">
        <f t="shared" si="1"/>
        <v>OK</v>
      </c>
      <c r="M25" s="84"/>
      <c r="O25" s="57" t="s">
        <v>402</v>
      </c>
    </row>
    <row r="26" ht="21.75" customHeight="1">
      <c r="A26" s="55" t="s">
        <v>516</v>
      </c>
      <c r="B26" s="55" t="s">
        <v>121</v>
      </c>
      <c r="C26" s="82">
        <v>100.0</v>
      </c>
      <c r="D26" s="82">
        <v>387.0</v>
      </c>
      <c r="E26" s="82">
        <v>0.3</v>
      </c>
      <c r="F26" s="82">
        <v>99.6</v>
      </c>
      <c r="G26" s="82">
        <v>0.0</v>
      </c>
      <c r="H26" s="82">
        <v>0.0</v>
      </c>
      <c r="I26" s="55" t="s">
        <v>398</v>
      </c>
      <c r="J26" s="55" t="s">
        <v>519</v>
      </c>
      <c r="K26" s="55" t="s">
        <v>400</v>
      </c>
      <c r="L26" s="71" t="str">
        <f t="shared" si="1"/>
        <v>OK</v>
      </c>
      <c r="M26" s="84"/>
      <c r="O26" s="57" t="s">
        <v>402</v>
      </c>
    </row>
    <row r="27" ht="21.75" customHeight="1">
      <c r="A27" s="55" t="s">
        <v>283</v>
      </c>
      <c r="B27" s="55" t="s">
        <v>121</v>
      </c>
      <c r="C27" s="82">
        <v>100.0</v>
      </c>
      <c r="D27" s="82">
        <v>11.0</v>
      </c>
      <c r="E27" s="82">
        <v>1.3</v>
      </c>
      <c r="F27" s="82">
        <v>1.7</v>
      </c>
      <c r="G27" s="82">
        <v>0.2</v>
      </c>
      <c r="H27" s="82">
        <v>1.8</v>
      </c>
      <c r="I27" s="55" t="s">
        <v>469</v>
      </c>
      <c r="J27" s="55" t="s">
        <v>521</v>
      </c>
      <c r="K27" s="55" t="s">
        <v>471</v>
      </c>
      <c r="L27" s="71" t="str">
        <f t="shared" si="1"/>
        <v>OK</v>
      </c>
      <c r="M27" s="84"/>
      <c r="O27" s="57" t="s">
        <v>472</v>
      </c>
    </row>
    <row r="28" ht="21.75" customHeight="1">
      <c r="A28" s="55" t="s">
        <v>241</v>
      </c>
      <c r="B28" s="55" t="s">
        <v>121</v>
      </c>
      <c r="C28" s="82">
        <v>100.0</v>
      </c>
      <c r="D28" s="82">
        <v>720.0</v>
      </c>
      <c r="E28" s="82">
        <v>0.0</v>
      </c>
      <c r="F28" s="82">
        <v>0.0</v>
      </c>
      <c r="G28" s="82">
        <v>80.0</v>
      </c>
      <c r="H28" s="82">
        <v>0.0</v>
      </c>
      <c r="I28" s="55" t="s">
        <v>523</v>
      </c>
      <c r="J28" s="55" t="s">
        <v>525</v>
      </c>
      <c r="K28" s="55" t="s">
        <v>526</v>
      </c>
      <c r="L28" s="71" t="str">
        <f t="shared" si="1"/>
        <v>OK</v>
      </c>
      <c r="M28" s="84"/>
      <c r="O28" s="57" t="s">
        <v>472</v>
      </c>
    </row>
    <row r="29" ht="21.75" customHeight="1">
      <c r="A29" s="55" t="s">
        <v>527</v>
      </c>
      <c r="B29" s="55" t="s">
        <v>121</v>
      </c>
      <c r="C29" s="82">
        <v>100.0</v>
      </c>
      <c r="D29" s="82">
        <v>353.0</v>
      </c>
      <c r="E29" s="82">
        <v>8.9</v>
      </c>
      <c r="F29" s="82">
        <v>70.3</v>
      </c>
      <c r="G29" s="82">
        <v>3.9</v>
      </c>
      <c r="H29" s="82">
        <v>12.1</v>
      </c>
      <c r="I29" s="55" t="s">
        <v>398</v>
      </c>
      <c r="J29" s="55" t="s">
        <v>532</v>
      </c>
      <c r="K29" s="55" t="s">
        <v>400</v>
      </c>
      <c r="L29" s="71" t="str">
        <f t="shared" si="1"/>
        <v>OK</v>
      </c>
      <c r="M29" s="84"/>
      <c r="O29" s="57" t="s">
        <v>402</v>
      </c>
    </row>
    <row r="30" ht="21.75" customHeight="1">
      <c r="A30" s="90" t="s">
        <v>318</v>
      </c>
      <c r="B30" s="90" t="s">
        <v>121</v>
      </c>
      <c r="C30" s="91">
        <v>100.0</v>
      </c>
      <c r="D30" s="91">
        <v>219.0</v>
      </c>
      <c r="E30" s="91">
        <v>35.9</v>
      </c>
      <c r="F30" s="91">
        <v>0.0</v>
      </c>
      <c r="G30" s="91">
        <v>7.3</v>
      </c>
      <c r="H30" s="91">
        <v>0.0</v>
      </c>
      <c r="I30" s="90" t="s">
        <v>398</v>
      </c>
      <c r="J30" s="90" t="s">
        <v>534</v>
      </c>
      <c r="K30" s="90" t="s">
        <v>535</v>
      </c>
      <c r="L30" s="89" t="str">
        <f t="shared" si="1"/>
        <v>OK</v>
      </c>
      <c r="M30" s="83"/>
      <c r="O30" s="57" t="s">
        <v>402</v>
      </c>
    </row>
    <row r="31" ht="21.75" customHeight="1">
      <c r="A31" s="90" t="s">
        <v>536</v>
      </c>
      <c r="B31" s="90" t="s">
        <v>121</v>
      </c>
      <c r="C31" s="91">
        <v>100.0</v>
      </c>
      <c r="D31" s="91">
        <v>241.0</v>
      </c>
      <c r="E31" s="91">
        <v>31.9</v>
      </c>
      <c r="F31" s="91">
        <v>0.0</v>
      </c>
      <c r="G31" s="91">
        <v>11.6</v>
      </c>
      <c r="H31" s="91">
        <v>0.0</v>
      </c>
      <c r="I31" s="90" t="s">
        <v>398</v>
      </c>
      <c r="J31" s="90" t="s">
        <v>534</v>
      </c>
      <c r="K31" s="90" t="s">
        <v>535</v>
      </c>
      <c r="L31" s="89" t="str">
        <f t="shared" si="1"/>
        <v>OK</v>
      </c>
      <c r="M31" s="83"/>
      <c r="O31" s="57" t="s">
        <v>402</v>
      </c>
    </row>
    <row r="32" ht="21.75" customHeight="1">
      <c r="A32" s="90" t="s">
        <v>538</v>
      </c>
      <c r="B32" s="90" t="s">
        <v>121</v>
      </c>
      <c r="C32" s="91">
        <v>100.0</v>
      </c>
      <c r="D32" s="91">
        <v>194.0</v>
      </c>
      <c r="E32" s="91">
        <v>35.9</v>
      </c>
      <c r="F32" s="91">
        <v>0.0</v>
      </c>
      <c r="G32" s="91">
        <v>4.5</v>
      </c>
      <c r="H32" s="91">
        <v>0.0</v>
      </c>
      <c r="I32" s="90" t="s">
        <v>398</v>
      </c>
      <c r="J32" s="90" t="s">
        <v>540</v>
      </c>
      <c r="K32" s="90" t="s">
        <v>535</v>
      </c>
      <c r="L32" s="89" t="str">
        <f t="shared" si="1"/>
        <v>OK</v>
      </c>
      <c r="M32" s="83"/>
      <c r="O32" s="57" t="s">
        <v>402</v>
      </c>
    </row>
    <row r="33" ht="21.75" customHeight="1">
      <c r="A33" s="90" t="s">
        <v>542</v>
      </c>
      <c r="B33" s="90" t="s">
        <v>121</v>
      </c>
      <c r="C33" s="91">
        <v>100.0</v>
      </c>
      <c r="D33" s="91">
        <v>220.0</v>
      </c>
      <c r="E33" s="91">
        <v>32.8</v>
      </c>
      <c r="F33" s="91">
        <v>0.0</v>
      </c>
      <c r="G33" s="91">
        <v>8.8</v>
      </c>
      <c r="H33" s="91">
        <v>0.0</v>
      </c>
      <c r="I33" s="90" t="s">
        <v>398</v>
      </c>
      <c r="J33" s="90" t="s">
        <v>534</v>
      </c>
      <c r="K33" s="90" t="s">
        <v>535</v>
      </c>
      <c r="L33" s="89" t="str">
        <f t="shared" si="1"/>
        <v>OK</v>
      </c>
      <c r="M33" s="83"/>
      <c r="O33" s="57" t="s">
        <v>402</v>
      </c>
    </row>
    <row r="34" ht="21.75" customHeight="1">
      <c r="A34" s="90" t="s">
        <v>544</v>
      </c>
      <c r="B34" s="90" t="s">
        <v>121</v>
      </c>
      <c r="C34" s="91">
        <v>100.0</v>
      </c>
      <c r="D34" s="91">
        <v>194.0</v>
      </c>
      <c r="E34" s="91">
        <v>31.2</v>
      </c>
      <c r="F34" s="91">
        <v>0.0</v>
      </c>
      <c r="G34" s="91">
        <v>6.7</v>
      </c>
      <c r="H34" s="91">
        <v>0.0</v>
      </c>
      <c r="I34" s="90" t="s">
        <v>398</v>
      </c>
      <c r="J34" s="90" t="s">
        <v>534</v>
      </c>
      <c r="K34" s="90" t="s">
        <v>535</v>
      </c>
      <c r="L34" s="89" t="str">
        <f t="shared" si="1"/>
        <v>OK</v>
      </c>
      <c r="M34" s="83"/>
      <c r="O34" s="57" t="s">
        <v>402</v>
      </c>
    </row>
    <row r="35" ht="21.75" customHeight="1">
      <c r="A35" s="90" t="s">
        <v>545</v>
      </c>
      <c r="B35" s="90" t="s">
        <v>121</v>
      </c>
      <c r="C35" s="91">
        <v>100.0</v>
      </c>
      <c r="D35" s="91">
        <v>219.0</v>
      </c>
      <c r="E35" s="91">
        <v>32.4</v>
      </c>
      <c r="F35" s="91">
        <v>0.0</v>
      </c>
      <c r="G35" s="91">
        <v>8.9</v>
      </c>
      <c r="H35" s="91">
        <v>0.0</v>
      </c>
      <c r="I35" s="90" t="s">
        <v>398</v>
      </c>
      <c r="J35" s="90" t="s">
        <v>534</v>
      </c>
      <c r="K35" s="90" t="s">
        <v>535</v>
      </c>
      <c r="L35" s="89" t="str">
        <f t="shared" si="1"/>
        <v>OK</v>
      </c>
      <c r="M35" s="83"/>
      <c r="O35" s="57" t="s">
        <v>402</v>
      </c>
    </row>
    <row r="36" ht="21.75" customHeight="1">
      <c r="A36" s="90" t="s">
        <v>547</v>
      </c>
      <c r="B36" s="90" t="s">
        <v>121</v>
      </c>
      <c r="C36" s="91">
        <v>100.0</v>
      </c>
      <c r="D36" s="91">
        <v>159.0</v>
      </c>
      <c r="E36" s="91">
        <v>32.0</v>
      </c>
      <c r="F36" s="91">
        <v>0.0</v>
      </c>
      <c r="G36" s="91">
        <v>2.5</v>
      </c>
      <c r="H36" s="91">
        <v>0.0</v>
      </c>
      <c r="I36" s="90" t="s">
        <v>398</v>
      </c>
      <c r="J36" s="90" t="s">
        <v>534</v>
      </c>
      <c r="K36" s="90" t="s">
        <v>535</v>
      </c>
      <c r="L36" s="89" t="str">
        <f t="shared" si="1"/>
        <v>OK</v>
      </c>
      <c r="M36" s="83"/>
      <c r="O36" s="57" t="s">
        <v>402</v>
      </c>
    </row>
    <row r="37" ht="21.75" customHeight="1">
      <c r="A37" s="90" t="s">
        <v>549</v>
      </c>
      <c r="B37" s="90" t="s">
        <v>121</v>
      </c>
      <c r="C37" s="91">
        <v>100.0</v>
      </c>
      <c r="D37" s="91">
        <v>167.0</v>
      </c>
      <c r="E37" s="91">
        <v>28.7</v>
      </c>
      <c r="F37" s="91">
        <v>0.0</v>
      </c>
      <c r="G37" s="91">
        <v>4.9</v>
      </c>
      <c r="H37" s="91">
        <v>0.0</v>
      </c>
      <c r="I37" s="90" t="s">
        <v>398</v>
      </c>
      <c r="J37" s="90" t="s">
        <v>550</v>
      </c>
      <c r="K37" s="90" t="s">
        <v>535</v>
      </c>
      <c r="L37" s="89" t="str">
        <f t="shared" si="1"/>
        <v>OK</v>
      </c>
      <c r="M37" s="83"/>
      <c r="O37" s="57" t="s">
        <v>402</v>
      </c>
    </row>
    <row r="38" ht="21.75" customHeight="1">
      <c r="A38" s="90" t="s">
        <v>551</v>
      </c>
      <c r="B38" s="90" t="s">
        <v>121</v>
      </c>
      <c r="C38" s="91">
        <v>100.0</v>
      </c>
      <c r="D38" s="91">
        <v>167.0</v>
      </c>
      <c r="E38" s="91">
        <v>26.9</v>
      </c>
      <c r="F38" s="91">
        <v>0.0</v>
      </c>
      <c r="G38" s="91">
        <v>5.8</v>
      </c>
      <c r="H38" s="91">
        <v>0.0</v>
      </c>
      <c r="I38" s="90" t="s">
        <v>398</v>
      </c>
      <c r="J38" s="90" t="s">
        <v>550</v>
      </c>
      <c r="K38" s="90" t="s">
        <v>535</v>
      </c>
      <c r="L38" s="89" t="str">
        <f t="shared" si="1"/>
        <v>OK</v>
      </c>
      <c r="M38" s="83"/>
      <c r="O38" s="57" t="s">
        <v>402</v>
      </c>
    </row>
    <row r="39" ht="21.75" customHeight="1">
      <c r="A39" s="90" t="s">
        <v>553</v>
      </c>
      <c r="B39" s="90" t="s">
        <v>121</v>
      </c>
      <c r="C39" s="91">
        <v>100.0</v>
      </c>
      <c r="D39" s="91">
        <v>222.0</v>
      </c>
      <c r="E39" s="91">
        <v>22.3</v>
      </c>
      <c r="F39" s="91">
        <v>0.8</v>
      </c>
      <c r="G39" s="91">
        <v>14.1</v>
      </c>
      <c r="H39" s="91">
        <v>0.0</v>
      </c>
      <c r="I39" s="90" t="s">
        <v>398</v>
      </c>
      <c r="J39" s="90" t="s">
        <v>534</v>
      </c>
      <c r="K39" s="90" t="s">
        <v>535</v>
      </c>
      <c r="L39" s="89" t="str">
        <f t="shared" si="1"/>
        <v>OK</v>
      </c>
      <c r="M39" s="83"/>
      <c r="O39" s="57" t="s">
        <v>402</v>
      </c>
    </row>
    <row r="40" ht="21.75" customHeight="1">
      <c r="A40" s="90" t="s">
        <v>554</v>
      </c>
      <c r="B40" s="90" t="s">
        <v>121</v>
      </c>
      <c r="C40" s="91">
        <v>100.0</v>
      </c>
      <c r="D40" s="91">
        <v>210.0</v>
      </c>
      <c r="E40" s="91">
        <v>35.7</v>
      </c>
      <c r="F40" s="91">
        <v>0.0</v>
      </c>
      <c r="G40" s="91">
        <v>6.4</v>
      </c>
      <c r="H40" s="91">
        <v>0.0</v>
      </c>
      <c r="I40" s="90" t="s">
        <v>398</v>
      </c>
      <c r="J40" s="90" t="s">
        <v>540</v>
      </c>
      <c r="K40" s="90" t="s">
        <v>535</v>
      </c>
      <c r="L40" s="89" t="str">
        <f t="shared" si="1"/>
        <v>OK</v>
      </c>
      <c r="M40" s="83"/>
      <c r="O40" s="57" t="s">
        <v>402</v>
      </c>
    </row>
    <row r="41" ht="21.75" customHeight="1">
      <c r="A41" s="90" t="s">
        <v>320</v>
      </c>
      <c r="B41" s="90" t="s">
        <v>121</v>
      </c>
      <c r="C41" s="91">
        <v>100.0</v>
      </c>
      <c r="D41" s="91">
        <v>128.0</v>
      </c>
      <c r="E41" s="91">
        <v>26.0</v>
      </c>
      <c r="F41" s="91">
        <v>0.0</v>
      </c>
      <c r="G41" s="91">
        <v>2.0</v>
      </c>
      <c r="H41" s="91">
        <v>0.0</v>
      </c>
      <c r="I41" s="90" t="s">
        <v>398</v>
      </c>
      <c r="J41" s="90" t="s">
        <v>534</v>
      </c>
      <c r="K41" s="90" t="s">
        <v>535</v>
      </c>
      <c r="L41" s="89" t="str">
        <f t="shared" si="1"/>
        <v>OK</v>
      </c>
      <c r="M41" s="83"/>
      <c r="O41" s="57" t="s">
        <v>402</v>
      </c>
    </row>
    <row r="42" ht="21.75" customHeight="1">
      <c r="A42" s="90" t="s">
        <v>557</v>
      </c>
      <c r="B42" s="90" t="s">
        <v>121</v>
      </c>
      <c r="C42" s="91">
        <v>100.0</v>
      </c>
      <c r="D42" s="91">
        <v>243.0</v>
      </c>
      <c r="E42" s="91">
        <v>26.1</v>
      </c>
      <c r="F42" s="91">
        <v>0.0</v>
      </c>
      <c r="G42" s="91">
        <v>14.5</v>
      </c>
      <c r="H42" s="91">
        <v>0.0</v>
      </c>
      <c r="I42" s="90" t="s">
        <v>398</v>
      </c>
      <c r="J42" s="90" t="s">
        <v>558</v>
      </c>
      <c r="K42" s="90" t="s">
        <v>535</v>
      </c>
      <c r="L42" s="89" t="str">
        <f t="shared" si="1"/>
        <v>OK</v>
      </c>
      <c r="M42" s="83"/>
      <c r="O42" s="57" t="s">
        <v>402</v>
      </c>
    </row>
    <row r="43" ht="21.75" customHeight="1">
      <c r="A43" s="90" t="s">
        <v>559</v>
      </c>
      <c r="B43" s="90" t="s">
        <v>121</v>
      </c>
      <c r="C43" s="91">
        <v>100.0</v>
      </c>
      <c r="D43" s="91">
        <v>166.0</v>
      </c>
      <c r="E43" s="91">
        <v>26.2</v>
      </c>
      <c r="F43" s="91">
        <v>0.0</v>
      </c>
      <c r="G43" s="91">
        <v>6.0</v>
      </c>
      <c r="H43" s="91">
        <v>0.0</v>
      </c>
      <c r="I43" s="90" t="s">
        <v>398</v>
      </c>
      <c r="J43" s="90" t="s">
        <v>561</v>
      </c>
      <c r="K43" s="90" t="s">
        <v>535</v>
      </c>
      <c r="L43" s="89" t="str">
        <f t="shared" si="1"/>
        <v>OK</v>
      </c>
      <c r="M43" s="83"/>
      <c r="O43" s="57" t="s">
        <v>402</v>
      </c>
    </row>
    <row r="44" ht="21.75" customHeight="1">
      <c r="A44" s="90" t="s">
        <v>322</v>
      </c>
      <c r="B44" s="90" t="s">
        <v>121</v>
      </c>
      <c r="C44" s="91">
        <v>100.0</v>
      </c>
      <c r="D44" s="91">
        <v>116.0</v>
      </c>
      <c r="E44" s="91">
        <v>25.5</v>
      </c>
      <c r="F44" s="91">
        <v>0.0</v>
      </c>
      <c r="G44" s="91">
        <v>0.8</v>
      </c>
      <c r="H44" s="91">
        <v>0.0</v>
      </c>
      <c r="I44" s="90" t="s">
        <v>469</v>
      </c>
      <c r="J44" s="90" t="s">
        <v>561</v>
      </c>
      <c r="K44" s="90" t="s">
        <v>471</v>
      </c>
      <c r="L44" s="89" t="str">
        <f t="shared" si="1"/>
        <v>OK</v>
      </c>
      <c r="M44" s="83"/>
      <c r="O44" s="57" t="s">
        <v>472</v>
      </c>
    </row>
    <row r="45" ht="21.75" customHeight="1">
      <c r="A45" s="90" t="s">
        <v>563</v>
      </c>
      <c r="B45" s="90" t="s">
        <v>121</v>
      </c>
      <c r="C45" s="91">
        <v>100.0</v>
      </c>
      <c r="D45" s="91">
        <v>285.0</v>
      </c>
      <c r="E45" s="91">
        <v>15.9</v>
      </c>
      <c r="F45" s="91">
        <v>0.0</v>
      </c>
      <c r="G45" s="91">
        <v>24.0</v>
      </c>
      <c r="H45" s="91">
        <v>0.0</v>
      </c>
      <c r="I45" s="90" t="s">
        <v>398</v>
      </c>
      <c r="J45" s="90" t="s">
        <v>564</v>
      </c>
      <c r="K45" s="90" t="s">
        <v>535</v>
      </c>
      <c r="L45" s="89" t="str">
        <f t="shared" si="1"/>
        <v>OK</v>
      </c>
      <c r="M45" s="83"/>
      <c r="O45" s="57" t="s">
        <v>402</v>
      </c>
    </row>
    <row r="46" ht="21.75" customHeight="1">
      <c r="A46" s="90" t="s">
        <v>565</v>
      </c>
      <c r="B46" s="90" t="s">
        <v>121</v>
      </c>
      <c r="C46" s="91">
        <v>100.0</v>
      </c>
      <c r="D46" s="91">
        <v>90.0</v>
      </c>
      <c r="E46" s="91">
        <v>19.0</v>
      </c>
      <c r="F46" s="91">
        <v>0.0</v>
      </c>
      <c r="G46" s="91">
        <v>1.0</v>
      </c>
      <c r="H46" s="91">
        <v>0.0</v>
      </c>
      <c r="I46" s="90" t="s">
        <v>398</v>
      </c>
      <c r="J46" s="90" t="s">
        <v>566</v>
      </c>
      <c r="K46" s="90" t="s">
        <v>535</v>
      </c>
      <c r="L46" s="89" t="str">
        <f t="shared" si="1"/>
        <v>OK</v>
      </c>
      <c r="M46" s="83"/>
      <c r="O46" s="57" t="s">
        <v>402</v>
      </c>
    </row>
    <row r="47" ht="21.75" customHeight="1">
      <c r="A47" s="90" t="s">
        <v>567</v>
      </c>
      <c r="B47" s="90" t="s">
        <v>468</v>
      </c>
      <c r="C47" s="91">
        <v>100.0</v>
      </c>
      <c r="D47" s="91">
        <v>35.0</v>
      </c>
      <c r="E47" s="91">
        <v>3.0</v>
      </c>
      <c r="F47" s="91">
        <v>4.7</v>
      </c>
      <c r="G47" s="91">
        <v>0.2</v>
      </c>
      <c r="H47" s="91">
        <v>0.0</v>
      </c>
      <c r="I47" s="90" t="s">
        <v>398</v>
      </c>
      <c r="J47" s="90" t="s">
        <v>568</v>
      </c>
      <c r="K47" s="90" t="s">
        <v>535</v>
      </c>
      <c r="L47" s="89" t="str">
        <f t="shared" si="1"/>
        <v>OK</v>
      </c>
      <c r="M47" s="83"/>
      <c r="O47" s="57" t="s">
        <v>402</v>
      </c>
    </row>
    <row r="48" ht="21.75" customHeight="1">
      <c r="A48" s="90" t="s">
        <v>569</v>
      </c>
      <c r="B48" s="90" t="s">
        <v>468</v>
      </c>
      <c r="C48" s="91">
        <v>100.0</v>
      </c>
      <c r="D48" s="91">
        <v>45.0</v>
      </c>
      <c r="E48" s="91">
        <v>3.1</v>
      </c>
      <c r="F48" s="91">
        <v>4.8</v>
      </c>
      <c r="G48" s="91">
        <v>1.2</v>
      </c>
      <c r="H48" s="91">
        <v>0.0</v>
      </c>
      <c r="I48" s="90" t="s">
        <v>469</v>
      </c>
      <c r="J48" s="90" t="s">
        <v>568</v>
      </c>
      <c r="K48" s="90" t="s">
        <v>471</v>
      </c>
      <c r="L48" s="89" t="str">
        <f t="shared" si="1"/>
        <v>OK</v>
      </c>
      <c r="M48" s="83"/>
      <c r="O48" s="57" t="s">
        <v>472</v>
      </c>
    </row>
    <row r="49" ht="21.75" customHeight="1">
      <c r="A49" s="90" t="s">
        <v>570</v>
      </c>
      <c r="B49" s="90" t="s">
        <v>121</v>
      </c>
      <c r="C49" s="91">
        <v>100.0</v>
      </c>
      <c r="D49" s="91">
        <v>98.0</v>
      </c>
      <c r="E49" s="91">
        <v>11.1</v>
      </c>
      <c r="F49" s="91">
        <v>3.4</v>
      </c>
      <c r="G49" s="91">
        <v>4.3</v>
      </c>
      <c r="H49" s="91">
        <v>0.0</v>
      </c>
      <c r="I49" s="90" t="s">
        <v>469</v>
      </c>
      <c r="J49" s="90" t="s">
        <v>497</v>
      </c>
      <c r="K49" s="90" t="s">
        <v>471</v>
      </c>
      <c r="L49" s="89" t="str">
        <f t="shared" si="1"/>
        <v>OK</v>
      </c>
      <c r="M49" s="83"/>
      <c r="O49" s="57" t="s">
        <v>472</v>
      </c>
    </row>
    <row r="50" ht="21.75" customHeight="1">
      <c r="A50" s="90" t="s">
        <v>571</v>
      </c>
      <c r="B50" s="90" t="s">
        <v>121</v>
      </c>
      <c r="C50" s="91">
        <v>100.0</v>
      </c>
      <c r="D50" s="91">
        <v>140.0</v>
      </c>
      <c r="E50" s="91">
        <v>12.6</v>
      </c>
      <c r="F50" s="91">
        <v>3.8</v>
      </c>
      <c r="G50" s="91">
        <v>8.1</v>
      </c>
      <c r="H50" s="91">
        <v>0.0</v>
      </c>
      <c r="I50" s="90" t="s">
        <v>398</v>
      </c>
      <c r="J50" s="90" t="s">
        <v>497</v>
      </c>
      <c r="K50" s="90" t="s">
        <v>535</v>
      </c>
      <c r="L50" s="89" t="str">
        <f t="shared" si="1"/>
        <v>OK</v>
      </c>
      <c r="M50" s="83"/>
      <c r="O50" s="57" t="s">
        <v>402</v>
      </c>
    </row>
    <row r="51" ht="21.75" customHeight="1">
      <c r="A51" s="90" t="s">
        <v>572</v>
      </c>
      <c r="B51" s="90" t="s">
        <v>121</v>
      </c>
      <c r="C51" s="91">
        <v>100.0</v>
      </c>
      <c r="D51" s="91">
        <v>281.0</v>
      </c>
      <c r="E51" s="91">
        <v>22.6</v>
      </c>
      <c r="F51" s="91">
        <v>3.0</v>
      </c>
      <c r="G51" s="91">
        <v>20.0</v>
      </c>
      <c r="H51" s="91">
        <v>0.0</v>
      </c>
      <c r="I51" s="90" t="s">
        <v>398</v>
      </c>
      <c r="J51" s="90" t="s">
        <v>573</v>
      </c>
      <c r="K51" s="90" t="s">
        <v>535</v>
      </c>
      <c r="L51" s="89" t="str">
        <f t="shared" si="1"/>
        <v>OK</v>
      </c>
      <c r="M51" s="83"/>
      <c r="O51" s="57" t="s">
        <v>402</v>
      </c>
    </row>
    <row r="52" ht="21.75" customHeight="1">
      <c r="A52" s="90" t="s">
        <v>574</v>
      </c>
      <c r="B52" s="90" t="s">
        <v>121</v>
      </c>
      <c r="C52" s="91">
        <v>100.0</v>
      </c>
      <c r="D52" s="91">
        <v>360.0</v>
      </c>
      <c r="E52" s="91">
        <v>22.7</v>
      </c>
      <c r="F52" s="91">
        <v>1.9</v>
      </c>
      <c r="G52" s="91">
        <v>29.1</v>
      </c>
      <c r="H52" s="91">
        <v>0.0</v>
      </c>
      <c r="I52" s="90" t="s">
        <v>398</v>
      </c>
      <c r="J52" s="90" t="s">
        <v>573</v>
      </c>
      <c r="K52" s="90" t="s">
        <v>535</v>
      </c>
      <c r="L52" s="89" t="str">
        <f t="shared" si="1"/>
        <v>OK</v>
      </c>
      <c r="M52" s="83"/>
      <c r="O52" s="57" t="s">
        <v>402</v>
      </c>
    </row>
    <row r="53" ht="21.75" customHeight="1">
      <c r="A53" s="90" t="s">
        <v>575</v>
      </c>
      <c r="B53" s="90" t="s">
        <v>121</v>
      </c>
      <c r="C53" s="91">
        <v>100.0</v>
      </c>
      <c r="D53" s="91">
        <v>453.0</v>
      </c>
      <c r="E53" s="91">
        <v>35.6</v>
      </c>
      <c r="F53" s="91">
        <v>1.7</v>
      </c>
      <c r="G53" s="91">
        <v>33.5</v>
      </c>
      <c r="H53" s="91">
        <v>0.0</v>
      </c>
      <c r="I53" s="90" t="s">
        <v>398</v>
      </c>
      <c r="J53" s="90" t="s">
        <v>497</v>
      </c>
      <c r="K53" s="90" t="s">
        <v>535</v>
      </c>
      <c r="L53" s="89" t="str">
        <f t="shared" si="1"/>
        <v>OK</v>
      </c>
      <c r="M53" s="83"/>
      <c r="O53" s="57" t="s">
        <v>402</v>
      </c>
    </row>
    <row r="54" ht="21.75" customHeight="1">
      <c r="A54" s="90" t="s">
        <v>576</v>
      </c>
      <c r="B54" s="90" t="s">
        <v>121</v>
      </c>
      <c r="C54" s="91">
        <v>100.0</v>
      </c>
      <c r="D54" s="91">
        <v>257.0</v>
      </c>
      <c r="E54" s="91">
        <v>9.6</v>
      </c>
      <c r="F54" s="91">
        <v>2.4</v>
      </c>
      <c r="G54" s="91">
        <v>23.4</v>
      </c>
      <c r="H54" s="91">
        <v>0.0</v>
      </c>
      <c r="I54" s="90" t="s">
        <v>398</v>
      </c>
      <c r="J54" s="90" t="s">
        <v>577</v>
      </c>
      <c r="K54" s="90" t="s">
        <v>535</v>
      </c>
      <c r="L54" s="89" t="str">
        <f t="shared" si="1"/>
        <v>OK</v>
      </c>
      <c r="M54" s="83"/>
      <c r="O54" s="57" t="s">
        <v>402</v>
      </c>
    </row>
    <row r="55" ht="21.75" customHeight="1">
      <c r="A55" s="90" t="s">
        <v>578</v>
      </c>
      <c r="B55" s="90" t="s">
        <v>121</v>
      </c>
      <c r="C55" s="91">
        <v>100.0</v>
      </c>
      <c r="D55" s="91">
        <v>41.0</v>
      </c>
      <c r="E55" s="91">
        <v>3.8</v>
      </c>
      <c r="F55" s="91">
        <v>5.8</v>
      </c>
      <c r="G55" s="91">
        <v>0.3</v>
      </c>
      <c r="H55" s="91">
        <v>0.0</v>
      </c>
      <c r="I55" s="90" t="s">
        <v>398</v>
      </c>
      <c r="J55" s="90" t="s">
        <v>497</v>
      </c>
      <c r="K55" s="90" t="s">
        <v>535</v>
      </c>
      <c r="L55" s="89" t="str">
        <f t="shared" si="1"/>
        <v>OK</v>
      </c>
      <c r="M55" s="83"/>
      <c r="O55" s="57" t="s">
        <v>402</v>
      </c>
    </row>
    <row r="56" ht="21.75" customHeight="1">
      <c r="A56" s="90" t="s">
        <v>579</v>
      </c>
      <c r="B56" s="90" t="s">
        <v>121</v>
      </c>
      <c r="C56" s="91">
        <v>100.0</v>
      </c>
      <c r="D56" s="91">
        <v>113.0</v>
      </c>
      <c r="E56" s="91">
        <v>6.4</v>
      </c>
      <c r="F56" s="91">
        <v>8.2</v>
      </c>
      <c r="G56" s="91">
        <v>6.0</v>
      </c>
      <c r="H56" s="91">
        <v>0.0</v>
      </c>
      <c r="I56" s="90" t="s">
        <v>469</v>
      </c>
      <c r="J56" s="90" t="s">
        <v>580</v>
      </c>
      <c r="K56" s="90" t="s">
        <v>471</v>
      </c>
      <c r="L56" s="89" t="str">
        <f t="shared" si="1"/>
        <v>OK</v>
      </c>
      <c r="M56" s="83"/>
      <c r="O56" s="57" t="s">
        <v>472</v>
      </c>
    </row>
    <row r="57" ht="21.75" customHeight="1">
      <c r="A57" s="90" t="s">
        <v>581</v>
      </c>
      <c r="B57" s="90" t="s">
        <v>121</v>
      </c>
      <c r="C57" s="91">
        <v>100.0</v>
      </c>
      <c r="D57" s="91">
        <v>124.0</v>
      </c>
      <c r="E57" s="91">
        <v>2.6</v>
      </c>
      <c r="F57" s="91">
        <v>25.8</v>
      </c>
      <c r="G57" s="91">
        <v>1.0</v>
      </c>
      <c r="H57" s="91">
        <v>2.7</v>
      </c>
      <c r="I57" s="90" t="s">
        <v>398</v>
      </c>
      <c r="J57" s="90" t="s">
        <v>534</v>
      </c>
      <c r="K57" s="90" t="s">
        <v>535</v>
      </c>
      <c r="L57" s="89" t="str">
        <f t="shared" si="1"/>
        <v>OK</v>
      </c>
      <c r="M57" s="83"/>
      <c r="O57" s="57" t="s">
        <v>402</v>
      </c>
    </row>
    <row r="58" ht="21.75" customHeight="1">
      <c r="A58" s="90" t="s">
        <v>324</v>
      </c>
      <c r="B58" s="90" t="s">
        <v>121</v>
      </c>
      <c r="C58" s="91">
        <v>100.0</v>
      </c>
      <c r="D58" s="91">
        <v>125.0</v>
      </c>
      <c r="E58" s="91">
        <v>0.6</v>
      </c>
      <c r="F58" s="91">
        <v>30.1</v>
      </c>
      <c r="G58" s="91">
        <v>0.3</v>
      </c>
      <c r="H58" s="91">
        <v>1.6</v>
      </c>
      <c r="I58" s="90" t="s">
        <v>398</v>
      </c>
      <c r="J58" s="90" t="s">
        <v>582</v>
      </c>
      <c r="K58" s="90" t="s">
        <v>535</v>
      </c>
      <c r="L58" s="89" t="str">
        <f t="shared" si="1"/>
        <v>OK</v>
      </c>
      <c r="M58" s="83"/>
      <c r="O58" s="57" t="s">
        <v>402</v>
      </c>
    </row>
    <row r="59" ht="21.75" customHeight="1">
      <c r="A59" s="90" t="s">
        <v>583</v>
      </c>
      <c r="B59" s="90" t="s">
        <v>121</v>
      </c>
      <c r="C59" s="91">
        <v>100.0</v>
      </c>
      <c r="D59" s="91">
        <v>80.0</v>
      </c>
      <c r="E59" s="91">
        <v>0.9</v>
      </c>
      <c r="F59" s="91">
        <v>18.9</v>
      </c>
      <c r="G59" s="91">
        <v>0.2</v>
      </c>
      <c r="H59" s="91">
        <v>1.8</v>
      </c>
      <c r="I59" s="90" t="s">
        <v>398</v>
      </c>
      <c r="J59" s="90" t="s">
        <v>582</v>
      </c>
      <c r="K59" s="90" t="s">
        <v>535</v>
      </c>
      <c r="L59" s="89" t="str">
        <f t="shared" si="1"/>
        <v>OK</v>
      </c>
      <c r="M59" s="83"/>
      <c r="O59" s="57" t="s">
        <v>402</v>
      </c>
    </row>
    <row r="60" ht="21.75" customHeight="1">
      <c r="A60" s="90" t="s">
        <v>326</v>
      </c>
      <c r="B60" s="90" t="s">
        <v>121</v>
      </c>
      <c r="C60" s="91">
        <v>100.0</v>
      </c>
      <c r="D60" s="91">
        <v>102.0</v>
      </c>
      <c r="E60" s="91">
        <v>3.4</v>
      </c>
      <c r="F60" s="91">
        <v>21.0</v>
      </c>
      <c r="G60" s="91">
        <v>0.4</v>
      </c>
      <c r="H60" s="91">
        <v>1.4</v>
      </c>
      <c r="I60" s="90" t="s">
        <v>398</v>
      </c>
      <c r="J60" s="90" t="s">
        <v>584</v>
      </c>
      <c r="K60" s="90" t="s">
        <v>535</v>
      </c>
      <c r="L60" s="89" t="str">
        <f t="shared" si="1"/>
        <v>OK</v>
      </c>
      <c r="M60" s="83"/>
      <c r="O60" s="57" t="s">
        <v>402</v>
      </c>
    </row>
    <row r="61" ht="21.75" customHeight="1">
      <c r="A61" s="90" t="s">
        <v>585</v>
      </c>
      <c r="B61" s="90" t="s">
        <v>121</v>
      </c>
      <c r="C61" s="91">
        <v>100.0</v>
      </c>
      <c r="D61" s="91">
        <v>124.0</v>
      </c>
      <c r="E61" s="91">
        <v>5.3</v>
      </c>
      <c r="F61" s="91">
        <v>26.5</v>
      </c>
      <c r="G61" s="91">
        <v>0.5</v>
      </c>
      <c r="H61" s="91">
        <v>3.9</v>
      </c>
      <c r="I61" s="90" t="s">
        <v>469</v>
      </c>
      <c r="J61" s="90" t="s">
        <v>584</v>
      </c>
      <c r="K61" s="90" t="s">
        <v>471</v>
      </c>
      <c r="L61" s="89" t="str">
        <f t="shared" si="1"/>
        <v>OK</v>
      </c>
      <c r="M61" s="83"/>
      <c r="O61" s="57" t="s">
        <v>472</v>
      </c>
    </row>
    <row r="62" ht="21.75" customHeight="1">
      <c r="A62" s="90" t="s">
        <v>586</v>
      </c>
      <c r="B62" s="90" t="s">
        <v>121</v>
      </c>
      <c r="C62" s="91">
        <v>100.0</v>
      </c>
      <c r="D62" s="91">
        <v>300.0</v>
      </c>
      <c r="E62" s="91">
        <v>8.0</v>
      </c>
      <c r="F62" s="91">
        <v>58.6</v>
      </c>
      <c r="G62" s="91">
        <v>3.1</v>
      </c>
      <c r="H62" s="91">
        <v>2.3</v>
      </c>
      <c r="I62" s="90" t="s">
        <v>398</v>
      </c>
      <c r="J62" s="90" t="s">
        <v>587</v>
      </c>
      <c r="K62" s="90" t="s">
        <v>535</v>
      </c>
      <c r="L62" s="89" t="str">
        <f t="shared" si="1"/>
        <v>OK</v>
      </c>
      <c r="M62" s="83" t="s">
        <v>401</v>
      </c>
      <c r="N62" s="57">
        <v>50.0</v>
      </c>
      <c r="O62" s="57" t="s">
        <v>402</v>
      </c>
    </row>
    <row r="63" ht="21.75" customHeight="1">
      <c r="A63" s="90" t="s">
        <v>588</v>
      </c>
      <c r="B63" s="90" t="s">
        <v>121</v>
      </c>
      <c r="C63" s="91">
        <v>100.0</v>
      </c>
      <c r="D63" s="91">
        <v>265.0</v>
      </c>
      <c r="E63" s="91">
        <v>8.4</v>
      </c>
      <c r="F63" s="91">
        <v>51.8</v>
      </c>
      <c r="G63" s="91">
        <v>2.4</v>
      </c>
      <c r="H63" s="91">
        <v>2.5</v>
      </c>
      <c r="I63" s="90" t="s">
        <v>398</v>
      </c>
      <c r="J63" s="90" t="s">
        <v>589</v>
      </c>
      <c r="K63" s="90" t="s">
        <v>535</v>
      </c>
      <c r="L63" s="89" t="str">
        <f t="shared" si="1"/>
        <v>OK</v>
      </c>
      <c r="M63" s="83" t="s">
        <v>406</v>
      </c>
      <c r="N63" s="57">
        <v>25.0</v>
      </c>
      <c r="O63" s="57" t="s">
        <v>402</v>
      </c>
    </row>
    <row r="64" ht="21.75" customHeight="1">
      <c r="A64" s="90" t="s">
        <v>590</v>
      </c>
      <c r="B64" s="90" t="s">
        <v>121</v>
      </c>
      <c r="C64" s="91">
        <v>100.0</v>
      </c>
      <c r="D64" s="91">
        <v>242.0</v>
      </c>
      <c r="E64" s="91">
        <v>0.3</v>
      </c>
      <c r="F64" s="91">
        <v>59.8</v>
      </c>
      <c r="G64" s="91">
        <v>0.2</v>
      </c>
      <c r="H64" s="91">
        <v>0.6</v>
      </c>
      <c r="I64" s="90" t="s">
        <v>398</v>
      </c>
      <c r="J64" s="90" t="s">
        <v>591</v>
      </c>
      <c r="K64" s="90" t="s">
        <v>535</v>
      </c>
      <c r="L64" s="89" t="str">
        <f t="shared" si="1"/>
        <v>OK</v>
      </c>
      <c r="M64" s="83"/>
      <c r="O64" s="57" t="s">
        <v>402</v>
      </c>
    </row>
    <row r="65" ht="21.75" customHeight="1">
      <c r="A65" s="93" t="s">
        <v>328</v>
      </c>
      <c r="B65" s="93" t="s">
        <v>121</v>
      </c>
      <c r="C65" s="94">
        <v>100.0</v>
      </c>
      <c r="D65" s="94">
        <v>113.0</v>
      </c>
      <c r="E65" s="94">
        <v>2.2</v>
      </c>
      <c r="F65" s="94">
        <v>25.3</v>
      </c>
      <c r="G65" s="94">
        <v>0.7</v>
      </c>
      <c r="H65" s="94">
        <v>1.8</v>
      </c>
      <c r="I65" s="93" t="s">
        <v>398</v>
      </c>
      <c r="J65" s="93" t="s">
        <v>592</v>
      </c>
      <c r="K65" s="93" t="s">
        <v>535</v>
      </c>
      <c r="L65" s="89" t="str">
        <f t="shared" si="1"/>
        <v>OK</v>
      </c>
      <c r="M65" s="83"/>
      <c r="O65" s="57" t="s">
        <v>402</v>
      </c>
    </row>
    <row r="66" ht="13.5" customHeight="1">
      <c r="A66" s="93" t="s">
        <v>593</v>
      </c>
      <c r="B66" s="93" t="s">
        <v>121</v>
      </c>
      <c r="C66" s="94">
        <v>100.0</v>
      </c>
      <c r="D66" s="94">
        <v>138.0</v>
      </c>
      <c r="E66" s="94">
        <v>3.3</v>
      </c>
      <c r="F66" s="94">
        <v>28.6</v>
      </c>
      <c r="G66" s="94">
        <v>2.4</v>
      </c>
      <c r="H66" s="94">
        <v>3.9</v>
      </c>
      <c r="I66" s="93" t="s">
        <v>398</v>
      </c>
      <c r="J66" s="93" t="s">
        <v>594</v>
      </c>
      <c r="K66" s="93" t="s">
        <v>535</v>
      </c>
      <c r="L66" s="89" t="str">
        <f t="shared" si="1"/>
        <v>OK</v>
      </c>
      <c r="M66" s="83"/>
      <c r="O66" s="57" t="s">
        <v>402</v>
      </c>
    </row>
    <row r="67" ht="13.5" customHeight="1">
      <c r="A67" s="93" t="s">
        <v>595</v>
      </c>
      <c r="B67" s="93" t="s">
        <v>121</v>
      </c>
      <c r="C67" s="94">
        <v>100.0</v>
      </c>
      <c r="D67" s="94">
        <v>164.0</v>
      </c>
      <c r="E67" s="94">
        <v>8.9</v>
      </c>
      <c r="F67" s="94">
        <v>27.4</v>
      </c>
      <c r="G67" s="94">
        <v>2.6</v>
      </c>
      <c r="H67" s="94">
        <v>5.4</v>
      </c>
      <c r="I67" s="93" t="s">
        <v>398</v>
      </c>
      <c r="J67" s="93" t="s">
        <v>596</v>
      </c>
      <c r="K67" s="93" t="s">
        <v>535</v>
      </c>
      <c r="L67" s="89" t="str">
        <f t="shared" si="1"/>
        <v>OK</v>
      </c>
      <c r="M67" s="83"/>
      <c r="O67" s="57" t="s">
        <v>402</v>
      </c>
    </row>
    <row r="68" ht="13.5" customHeight="1">
      <c r="A68" s="93" t="s">
        <v>597</v>
      </c>
      <c r="B68" s="93" t="s">
        <v>121</v>
      </c>
      <c r="C68" s="94">
        <v>100.0</v>
      </c>
      <c r="D68" s="94">
        <v>81.0</v>
      </c>
      <c r="E68" s="94">
        <v>5.4</v>
      </c>
      <c r="F68" s="94">
        <v>14.5</v>
      </c>
      <c r="G68" s="94">
        <v>0.4</v>
      </c>
      <c r="H68" s="94">
        <v>5.1</v>
      </c>
      <c r="I68" s="93" t="s">
        <v>398</v>
      </c>
      <c r="J68" s="93" t="s">
        <v>598</v>
      </c>
      <c r="K68" s="93" t="s">
        <v>535</v>
      </c>
      <c r="L68" s="89" t="str">
        <f t="shared" si="1"/>
        <v>OK</v>
      </c>
      <c r="M68" s="83"/>
      <c r="O68" s="57" t="s">
        <v>402</v>
      </c>
    </row>
    <row r="69" ht="13.5" customHeight="1">
      <c r="A69" s="93" t="s">
        <v>599</v>
      </c>
      <c r="B69" s="93" t="s">
        <v>121</v>
      </c>
      <c r="C69" s="94">
        <v>100.0</v>
      </c>
      <c r="D69" s="94">
        <v>173.0</v>
      </c>
      <c r="E69" s="94">
        <v>16.6</v>
      </c>
      <c r="F69" s="94">
        <v>9.9</v>
      </c>
      <c r="G69" s="94">
        <v>8.1</v>
      </c>
      <c r="H69" s="94">
        <v>6.0</v>
      </c>
      <c r="I69" s="93" t="s">
        <v>398</v>
      </c>
      <c r="J69" s="93" t="s">
        <v>600</v>
      </c>
      <c r="K69" s="93" t="s">
        <v>535</v>
      </c>
      <c r="L69" s="89" t="str">
        <f t="shared" si="1"/>
        <v>OK</v>
      </c>
      <c r="M69" s="83"/>
      <c r="O69" s="57" t="s">
        <v>402</v>
      </c>
    </row>
    <row r="70" ht="13.5" customHeight="1">
      <c r="A70" s="93" t="s">
        <v>601</v>
      </c>
      <c r="B70" s="93" t="s">
        <v>121</v>
      </c>
      <c r="C70" s="94">
        <v>100.0</v>
      </c>
      <c r="D70" s="94">
        <v>56.0</v>
      </c>
      <c r="E70" s="94">
        <v>0.3</v>
      </c>
      <c r="F70" s="94">
        <v>15.2</v>
      </c>
      <c r="G70" s="94">
        <v>0.0</v>
      </c>
      <c r="H70" s="94">
        <v>1.3</v>
      </c>
      <c r="I70" s="93" t="s">
        <v>398</v>
      </c>
      <c r="J70" s="93" t="s">
        <v>476</v>
      </c>
      <c r="K70" s="93" t="s">
        <v>535</v>
      </c>
      <c r="L70" s="89" t="str">
        <f t="shared" si="1"/>
        <v>OK</v>
      </c>
      <c r="M70" s="83"/>
      <c r="O70" s="57" t="s">
        <v>402</v>
      </c>
    </row>
    <row r="71" ht="13.5" customHeight="1">
      <c r="A71" s="93" t="s">
        <v>602</v>
      </c>
      <c r="B71" s="93" t="s">
        <v>121</v>
      </c>
      <c r="C71" s="94">
        <v>100.0</v>
      </c>
      <c r="D71" s="94">
        <v>98.0</v>
      </c>
      <c r="E71" s="94">
        <v>1.3</v>
      </c>
      <c r="F71" s="94">
        <v>26.0</v>
      </c>
      <c r="G71" s="94">
        <v>0.1</v>
      </c>
      <c r="H71" s="94">
        <v>2.0</v>
      </c>
      <c r="I71" s="93" t="s">
        <v>398</v>
      </c>
      <c r="J71" s="93" t="s">
        <v>435</v>
      </c>
      <c r="K71" s="93" t="s">
        <v>535</v>
      </c>
      <c r="L71" s="89" t="str">
        <f t="shared" si="1"/>
        <v>OK</v>
      </c>
      <c r="M71" s="83"/>
      <c r="O71" s="57" t="s">
        <v>402</v>
      </c>
    </row>
    <row r="72" ht="13.5" customHeight="1">
      <c r="A72" s="93" t="s">
        <v>603</v>
      </c>
      <c r="B72" s="93" t="s">
        <v>121</v>
      </c>
      <c r="C72" s="94">
        <v>100.0</v>
      </c>
      <c r="D72" s="94">
        <v>48.0</v>
      </c>
      <c r="E72" s="94">
        <v>0.9</v>
      </c>
      <c r="F72" s="94">
        <v>12.3</v>
      </c>
      <c r="G72" s="94">
        <v>0.1</v>
      </c>
      <c r="H72" s="94">
        <v>1.0</v>
      </c>
      <c r="I72" s="93" t="s">
        <v>398</v>
      </c>
      <c r="J72" s="93" t="s">
        <v>604</v>
      </c>
      <c r="K72" s="93" t="s">
        <v>535</v>
      </c>
      <c r="L72" s="89" t="str">
        <f t="shared" si="1"/>
        <v>OK</v>
      </c>
      <c r="M72" s="83"/>
      <c r="O72" s="57" t="s">
        <v>402</v>
      </c>
    </row>
    <row r="73" ht="13.5" customHeight="1">
      <c r="A73" s="93" t="s">
        <v>605</v>
      </c>
      <c r="B73" s="93" t="s">
        <v>121</v>
      </c>
      <c r="C73" s="94">
        <v>100.0</v>
      </c>
      <c r="D73" s="94">
        <v>33.0</v>
      </c>
      <c r="E73" s="94">
        <v>0.9</v>
      </c>
      <c r="F73" s="94">
        <v>8.1</v>
      </c>
      <c r="G73" s="94">
        <v>0.0</v>
      </c>
      <c r="H73" s="94">
        <v>0.1</v>
      </c>
      <c r="I73" s="93" t="s">
        <v>398</v>
      </c>
      <c r="J73" s="93" t="s">
        <v>435</v>
      </c>
      <c r="K73" s="93" t="s">
        <v>535</v>
      </c>
      <c r="L73" s="89" t="str">
        <f t="shared" si="1"/>
        <v>OK</v>
      </c>
      <c r="M73" s="83"/>
      <c r="O73" s="57" t="s">
        <v>402</v>
      </c>
    </row>
    <row r="74" ht="13.5" customHeight="1">
      <c r="A74" s="93" t="s">
        <v>606</v>
      </c>
      <c r="B74" s="93" t="s">
        <v>121</v>
      </c>
      <c r="C74" s="94">
        <v>100.0</v>
      </c>
      <c r="D74" s="94">
        <v>40.0</v>
      </c>
      <c r="E74" s="94">
        <v>0.5</v>
      </c>
      <c r="F74" s="94">
        <v>10.4</v>
      </c>
      <c r="G74" s="94">
        <v>0.1</v>
      </c>
      <c r="H74" s="94">
        <v>1.0</v>
      </c>
      <c r="I74" s="93" t="s">
        <v>398</v>
      </c>
      <c r="J74" s="93" t="s">
        <v>607</v>
      </c>
      <c r="K74" s="93" t="s">
        <v>535</v>
      </c>
      <c r="L74" s="89" t="str">
        <f t="shared" si="1"/>
        <v>OK</v>
      </c>
      <c r="M74" s="83"/>
      <c r="O74" s="57" t="s">
        <v>402</v>
      </c>
    </row>
    <row r="75" ht="13.5" customHeight="1">
      <c r="A75" s="93" t="s">
        <v>608</v>
      </c>
      <c r="B75" s="93" t="s">
        <v>121</v>
      </c>
      <c r="C75" s="94">
        <v>100.0</v>
      </c>
      <c r="D75" s="94">
        <v>45.0</v>
      </c>
      <c r="E75" s="94">
        <v>0.8</v>
      </c>
      <c r="F75" s="94">
        <v>11.6</v>
      </c>
      <c r="G75" s="94">
        <v>0.1</v>
      </c>
      <c r="H75" s="94">
        <v>1.8</v>
      </c>
      <c r="I75" s="93" t="s">
        <v>398</v>
      </c>
      <c r="J75" s="93" t="s">
        <v>607</v>
      </c>
      <c r="K75" s="93" t="s">
        <v>535</v>
      </c>
      <c r="L75" s="89" t="str">
        <f t="shared" si="1"/>
        <v>OK</v>
      </c>
      <c r="M75" s="83"/>
      <c r="O75" s="57" t="s">
        <v>402</v>
      </c>
    </row>
    <row r="76" ht="13.5" customHeight="1">
      <c r="A76" s="93" t="s">
        <v>609</v>
      </c>
      <c r="B76" s="93" t="s">
        <v>121</v>
      </c>
      <c r="C76" s="94">
        <v>100.0</v>
      </c>
      <c r="D76" s="94">
        <v>30.0</v>
      </c>
      <c r="E76" s="94">
        <v>0.9</v>
      </c>
      <c r="F76" s="94">
        <v>6.8</v>
      </c>
      <c r="G76" s="94">
        <v>0.3</v>
      </c>
      <c r="H76" s="94">
        <v>1.7</v>
      </c>
      <c r="I76" s="93" t="s">
        <v>398</v>
      </c>
      <c r="J76" s="93" t="s">
        <v>610</v>
      </c>
      <c r="K76" s="93" t="s">
        <v>535</v>
      </c>
      <c r="L76" s="89" t="str">
        <f t="shared" si="1"/>
        <v>OK</v>
      </c>
      <c r="M76" s="83"/>
      <c r="O76" s="57" t="s">
        <v>402</v>
      </c>
    </row>
    <row r="77" ht="13.5" customHeight="1">
      <c r="A77" s="93" t="s">
        <v>611</v>
      </c>
      <c r="B77" s="93" t="s">
        <v>121</v>
      </c>
      <c r="C77" s="94">
        <v>100.0</v>
      </c>
      <c r="D77" s="94">
        <v>53.0</v>
      </c>
      <c r="E77" s="94">
        <v>0.7</v>
      </c>
      <c r="F77" s="94">
        <v>13.6</v>
      </c>
      <c r="G77" s="94">
        <v>0.2</v>
      </c>
      <c r="H77" s="94">
        <v>0.9</v>
      </c>
      <c r="I77" s="93" t="s">
        <v>398</v>
      </c>
      <c r="J77" s="93" t="s">
        <v>476</v>
      </c>
      <c r="K77" s="93" t="s">
        <v>535</v>
      </c>
      <c r="L77" s="89" t="str">
        <f t="shared" si="1"/>
        <v>OK</v>
      </c>
      <c r="M77" s="83"/>
      <c r="O77" s="57" t="s">
        <v>402</v>
      </c>
    </row>
    <row r="78" ht="13.5" customHeight="1">
      <c r="A78" s="93" t="s">
        <v>612</v>
      </c>
      <c r="B78" s="93" t="s">
        <v>121</v>
      </c>
      <c r="C78" s="94">
        <v>100.0</v>
      </c>
      <c r="D78" s="94">
        <v>51.0</v>
      </c>
      <c r="E78" s="94">
        <v>0.5</v>
      </c>
      <c r="F78" s="94">
        <v>12.8</v>
      </c>
      <c r="G78" s="94">
        <v>0.2</v>
      </c>
      <c r="H78" s="94">
        <v>1.6</v>
      </c>
      <c r="I78" s="93" t="s">
        <v>398</v>
      </c>
      <c r="J78" s="93" t="s">
        <v>613</v>
      </c>
      <c r="K78" s="93" t="s">
        <v>535</v>
      </c>
      <c r="L78" s="89" t="str">
        <f t="shared" si="1"/>
        <v>OK</v>
      </c>
      <c r="M78" s="83"/>
      <c r="O78" s="57" t="s">
        <v>402</v>
      </c>
    </row>
    <row r="79" ht="13.5" customHeight="1">
      <c r="A79" s="93" t="s">
        <v>614</v>
      </c>
      <c r="B79" s="93" t="s">
        <v>121</v>
      </c>
      <c r="C79" s="94">
        <v>100.0</v>
      </c>
      <c r="D79" s="94">
        <v>72.0</v>
      </c>
      <c r="E79" s="94">
        <v>0.4</v>
      </c>
      <c r="F79" s="94">
        <v>19.4</v>
      </c>
      <c r="G79" s="94">
        <v>0.2</v>
      </c>
      <c r="H79" s="94">
        <v>1.6</v>
      </c>
      <c r="I79" s="93" t="s">
        <v>398</v>
      </c>
      <c r="J79" s="93" t="s">
        <v>613</v>
      </c>
      <c r="K79" s="93" t="s">
        <v>535</v>
      </c>
      <c r="L79" s="89" t="str">
        <f t="shared" si="1"/>
        <v>OK</v>
      </c>
      <c r="M79" s="83"/>
      <c r="O79" s="57" t="s">
        <v>402</v>
      </c>
    </row>
    <row r="80" ht="13.5" customHeight="1">
      <c r="A80" s="93" t="s">
        <v>615</v>
      </c>
      <c r="B80" s="93" t="s">
        <v>121</v>
      </c>
      <c r="C80" s="94">
        <v>100.0</v>
      </c>
      <c r="D80" s="94">
        <v>96.0</v>
      </c>
      <c r="E80" s="94">
        <v>1.2</v>
      </c>
      <c r="F80" s="94">
        <v>6.0</v>
      </c>
      <c r="G80" s="94">
        <v>8.4</v>
      </c>
      <c r="H80" s="94">
        <v>6.3</v>
      </c>
      <c r="I80" s="93" t="s">
        <v>398</v>
      </c>
      <c r="J80" s="93" t="s">
        <v>613</v>
      </c>
      <c r="K80" s="93" t="s">
        <v>535</v>
      </c>
      <c r="L80" s="89" t="str">
        <f t="shared" si="1"/>
        <v>OK</v>
      </c>
      <c r="M80" s="83"/>
      <c r="O80" s="57" t="s">
        <v>402</v>
      </c>
    </row>
    <row r="81" ht="13.5" customHeight="1">
      <c r="A81" s="93" t="s">
        <v>616</v>
      </c>
      <c r="B81" s="93" t="s">
        <v>121</v>
      </c>
      <c r="C81" s="94">
        <v>100.0</v>
      </c>
      <c r="D81" s="94">
        <v>29.0</v>
      </c>
      <c r="E81" s="94">
        <v>0.7</v>
      </c>
      <c r="F81" s="94">
        <v>7.5</v>
      </c>
      <c r="G81" s="94">
        <v>0.0</v>
      </c>
      <c r="H81" s="94">
        <v>0.3</v>
      </c>
      <c r="I81" s="93" t="s">
        <v>398</v>
      </c>
      <c r="J81" s="93" t="s">
        <v>435</v>
      </c>
      <c r="K81" s="93" t="s">
        <v>535</v>
      </c>
      <c r="L81" s="89" t="str">
        <f t="shared" si="1"/>
        <v>OK</v>
      </c>
      <c r="M81" s="83"/>
      <c r="O81" s="57" t="s">
        <v>402</v>
      </c>
    </row>
    <row r="82" ht="13.5" customHeight="1">
      <c r="A82" s="93" t="s">
        <v>617</v>
      </c>
      <c r="B82" s="93" t="s">
        <v>121</v>
      </c>
      <c r="C82" s="94">
        <v>100.0</v>
      </c>
      <c r="D82" s="94">
        <v>53.0</v>
      </c>
      <c r="E82" s="94">
        <v>0.6</v>
      </c>
      <c r="F82" s="94">
        <v>14.0</v>
      </c>
      <c r="G82" s="94">
        <v>0.1</v>
      </c>
      <c r="H82" s="94">
        <v>3.0</v>
      </c>
      <c r="I82" s="93" t="s">
        <v>398</v>
      </c>
      <c r="J82" s="93" t="s">
        <v>618</v>
      </c>
      <c r="K82" s="93" t="s">
        <v>535</v>
      </c>
      <c r="L82" s="89" t="str">
        <f t="shared" si="1"/>
        <v>OK</v>
      </c>
      <c r="M82" s="83"/>
      <c r="O82" s="57" t="s">
        <v>402</v>
      </c>
    </row>
    <row r="83" ht="13.5" customHeight="1">
      <c r="A83" s="93" t="s">
        <v>619</v>
      </c>
      <c r="B83" s="93" t="s">
        <v>121</v>
      </c>
      <c r="C83" s="94">
        <v>100.0</v>
      </c>
      <c r="D83" s="94">
        <v>51.0</v>
      </c>
      <c r="E83" s="94">
        <v>1.1</v>
      </c>
      <c r="F83" s="94">
        <v>11.5</v>
      </c>
      <c r="G83" s="94">
        <v>0.5</v>
      </c>
      <c r="H83" s="94">
        <v>2.7</v>
      </c>
      <c r="I83" s="93" t="s">
        <v>469</v>
      </c>
      <c r="J83" s="93" t="s">
        <v>435</v>
      </c>
      <c r="K83" s="93" t="s">
        <v>471</v>
      </c>
      <c r="L83" s="89" t="str">
        <f t="shared" si="1"/>
        <v>OK</v>
      </c>
      <c r="M83" s="83"/>
      <c r="O83" s="57" t="s">
        <v>472</v>
      </c>
    </row>
    <row r="84" ht="13.5" customHeight="1">
      <c r="A84" s="93" t="s">
        <v>620</v>
      </c>
      <c r="B84" s="93" t="s">
        <v>121</v>
      </c>
      <c r="C84" s="94">
        <v>100.0</v>
      </c>
      <c r="D84" s="94">
        <v>54.0</v>
      </c>
      <c r="E84" s="94">
        <v>1.1</v>
      </c>
      <c r="F84" s="94">
        <v>13.0</v>
      </c>
      <c r="G84" s="94">
        <v>0.4</v>
      </c>
      <c r="H84" s="94">
        <v>6.2</v>
      </c>
      <c r="I84" s="93" t="s">
        <v>398</v>
      </c>
      <c r="J84" s="93" t="s">
        <v>621</v>
      </c>
      <c r="K84" s="93" t="s">
        <v>535</v>
      </c>
      <c r="L84" s="89" t="str">
        <f t="shared" si="1"/>
        <v>OK</v>
      </c>
      <c r="M84" s="83"/>
      <c r="O84" s="57" t="s">
        <v>402</v>
      </c>
    </row>
    <row r="85" ht="13.5" customHeight="1">
      <c r="A85" s="93" t="s">
        <v>622</v>
      </c>
      <c r="B85" s="93" t="s">
        <v>121</v>
      </c>
      <c r="C85" s="94">
        <v>100.0</v>
      </c>
      <c r="D85" s="94">
        <v>299.0</v>
      </c>
      <c r="E85" s="94">
        <v>3.3</v>
      </c>
      <c r="F85" s="94">
        <v>79.2</v>
      </c>
      <c r="G85" s="94">
        <v>0.5</v>
      </c>
      <c r="H85" s="94">
        <v>3.7</v>
      </c>
      <c r="I85" s="93" t="s">
        <v>398</v>
      </c>
      <c r="J85" s="93" t="s">
        <v>623</v>
      </c>
      <c r="K85" s="93" t="s">
        <v>535</v>
      </c>
      <c r="L85" s="89" t="str">
        <f t="shared" si="1"/>
        <v>OK</v>
      </c>
      <c r="M85" s="83"/>
      <c r="O85" s="57" t="s">
        <v>402</v>
      </c>
    </row>
    <row r="86" ht="13.5" customHeight="1">
      <c r="A86" s="93" t="s">
        <v>624</v>
      </c>
      <c r="B86" s="93" t="s">
        <v>121</v>
      </c>
      <c r="C86" s="94">
        <v>100.0</v>
      </c>
      <c r="D86" s="94">
        <v>25.0</v>
      </c>
      <c r="E86" s="94">
        <v>2.1</v>
      </c>
      <c r="F86" s="94">
        <v>4.4</v>
      </c>
      <c r="G86" s="94">
        <v>0.5</v>
      </c>
      <c r="H86" s="94">
        <v>3.4</v>
      </c>
      <c r="I86" s="93" t="s">
        <v>398</v>
      </c>
      <c r="J86" s="93" t="s">
        <v>625</v>
      </c>
      <c r="K86" s="93" t="s">
        <v>535</v>
      </c>
      <c r="L86" s="89" t="str">
        <f t="shared" si="1"/>
        <v>OK</v>
      </c>
      <c r="M86" s="83"/>
      <c r="O86" s="57" t="s">
        <v>402</v>
      </c>
    </row>
    <row r="87" ht="13.5" customHeight="1">
      <c r="A87" s="93" t="s">
        <v>626</v>
      </c>
      <c r="B87" s="93" t="s">
        <v>121</v>
      </c>
      <c r="C87" s="94">
        <v>100.0</v>
      </c>
      <c r="D87" s="94">
        <v>19.0</v>
      </c>
      <c r="E87" s="94">
        <v>1.2</v>
      </c>
      <c r="F87" s="94">
        <v>3.9</v>
      </c>
      <c r="G87" s="94">
        <v>0.2</v>
      </c>
      <c r="H87" s="94">
        <v>2.1</v>
      </c>
      <c r="I87" s="93" t="s">
        <v>398</v>
      </c>
      <c r="J87" s="93" t="s">
        <v>627</v>
      </c>
      <c r="K87" s="93" t="s">
        <v>535</v>
      </c>
      <c r="L87" s="89" t="str">
        <f t="shared" si="1"/>
        <v>OK</v>
      </c>
      <c r="M87" s="83"/>
      <c r="O87" s="57" t="s">
        <v>402</v>
      </c>
    </row>
    <row r="88" ht="13.5" customHeight="1">
      <c r="A88" s="93" t="s">
        <v>628</v>
      </c>
      <c r="B88" s="93" t="s">
        <v>121</v>
      </c>
      <c r="C88" s="94">
        <v>100.0</v>
      </c>
      <c r="D88" s="94">
        <v>15.0</v>
      </c>
      <c r="E88" s="94">
        <v>1.1</v>
      </c>
      <c r="F88" s="94">
        <v>3.1</v>
      </c>
      <c r="G88" s="94">
        <v>0.2</v>
      </c>
      <c r="H88" s="94">
        <v>1.2</v>
      </c>
      <c r="I88" s="93" t="s">
        <v>398</v>
      </c>
      <c r="J88" s="93" t="s">
        <v>629</v>
      </c>
      <c r="K88" s="93" t="s">
        <v>535</v>
      </c>
      <c r="L88" s="89" t="str">
        <f t="shared" si="1"/>
        <v>OK</v>
      </c>
      <c r="M88" s="83"/>
      <c r="O88" s="57" t="s">
        <v>402</v>
      </c>
    </row>
    <row r="89" ht="13.5" customHeight="1">
      <c r="A89" s="93" t="s">
        <v>630</v>
      </c>
      <c r="B89" s="93" t="s">
        <v>121</v>
      </c>
      <c r="C89" s="94">
        <v>100.0</v>
      </c>
      <c r="D89" s="94">
        <v>15.0</v>
      </c>
      <c r="E89" s="94">
        <v>1.1</v>
      </c>
      <c r="F89" s="94">
        <v>3.0</v>
      </c>
      <c r="G89" s="94">
        <v>0.2</v>
      </c>
      <c r="H89" s="94">
        <v>1.6</v>
      </c>
      <c r="I89" s="93" t="s">
        <v>398</v>
      </c>
      <c r="J89" s="93" t="s">
        <v>627</v>
      </c>
      <c r="K89" s="93" t="s">
        <v>535</v>
      </c>
      <c r="L89" s="89" t="str">
        <f t="shared" si="1"/>
        <v>OK</v>
      </c>
      <c r="M89" s="83"/>
      <c r="O89" s="57" t="s">
        <v>402</v>
      </c>
    </row>
    <row r="90" ht="13.5" customHeight="1">
      <c r="A90" s="93" t="s">
        <v>631</v>
      </c>
      <c r="B90" s="93" t="s">
        <v>121</v>
      </c>
      <c r="C90" s="94">
        <v>100.0</v>
      </c>
      <c r="D90" s="94">
        <v>19.0</v>
      </c>
      <c r="E90" s="94">
        <v>0.4</v>
      </c>
      <c r="F90" s="94">
        <v>4.8</v>
      </c>
      <c r="G90" s="94">
        <v>0.1</v>
      </c>
      <c r="H90" s="94">
        <v>1.0</v>
      </c>
      <c r="I90" s="93" t="s">
        <v>398</v>
      </c>
      <c r="J90" s="93" t="s">
        <v>632</v>
      </c>
      <c r="K90" s="93" t="s">
        <v>535</v>
      </c>
      <c r="L90" s="89" t="str">
        <f t="shared" si="1"/>
        <v>OK</v>
      </c>
      <c r="M90" s="83"/>
      <c r="O90" s="57" t="s">
        <v>402</v>
      </c>
    </row>
    <row r="91" ht="13.5" customHeight="1">
      <c r="A91" s="93" t="s">
        <v>633</v>
      </c>
      <c r="B91" s="93" t="s">
        <v>121</v>
      </c>
      <c r="C91" s="94">
        <v>100.0</v>
      </c>
      <c r="D91" s="94">
        <v>32.0</v>
      </c>
      <c r="E91" s="94">
        <v>1.3</v>
      </c>
      <c r="F91" s="94">
        <v>7.2</v>
      </c>
      <c r="G91" s="94">
        <v>0.1</v>
      </c>
      <c r="H91" s="94">
        <v>1.9</v>
      </c>
      <c r="I91" s="93" t="s">
        <v>398</v>
      </c>
      <c r="J91" s="93" t="s">
        <v>634</v>
      </c>
      <c r="K91" s="93" t="s">
        <v>535</v>
      </c>
      <c r="L91" s="89" t="str">
        <f t="shared" si="1"/>
        <v>OK</v>
      </c>
      <c r="M91" s="83"/>
      <c r="O91" s="57" t="s">
        <v>402</v>
      </c>
    </row>
    <row r="92" ht="13.5" customHeight="1">
      <c r="A92" s="93" t="s">
        <v>635</v>
      </c>
      <c r="B92" s="93" t="s">
        <v>121</v>
      </c>
      <c r="C92" s="94">
        <v>100.0</v>
      </c>
      <c r="D92" s="94">
        <v>16.0</v>
      </c>
      <c r="E92" s="94">
        <v>2.7</v>
      </c>
      <c r="F92" s="94">
        <v>2.6</v>
      </c>
      <c r="G92" s="94">
        <v>0.2</v>
      </c>
      <c r="H92" s="94">
        <v>2.1</v>
      </c>
      <c r="I92" s="93" t="s">
        <v>398</v>
      </c>
      <c r="J92" s="93" t="s">
        <v>636</v>
      </c>
      <c r="K92" s="93" t="s">
        <v>535</v>
      </c>
      <c r="L92" s="89" t="str">
        <f t="shared" si="1"/>
        <v>OK</v>
      </c>
      <c r="M92" s="83"/>
      <c r="O92" s="57" t="s">
        <v>402</v>
      </c>
    </row>
    <row r="93" ht="13.5" customHeight="1">
      <c r="A93" s="93" t="s">
        <v>637</v>
      </c>
      <c r="B93" s="93" t="s">
        <v>121</v>
      </c>
      <c r="C93" s="94">
        <v>100.0</v>
      </c>
      <c r="D93" s="94">
        <v>10.0</v>
      </c>
      <c r="E93" s="94">
        <v>0.9</v>
      </c>
      <c r="F93" s="94">
        <v>2.0</v>
      </c>
      <c r="G93" s="94">
        <v>0.0</v>
      </c>
      <c r="H93" s="94">
        <v>1.1</v>
      </c>
      <c r="I93" s="93" t="s">
        <v>398</v>
      </c>
      <c r="J93" s="93" t="s">
        <v>638</v>
      </c>
      <c r="K93" s="93" t="s">
        <v>535</v>
      </c>
      <c r="L93" s="89" t="str">
        <f t="shared" si="1"/>
        <v>OK</v>
      </c>
      <c r="M93" s="83"/>
      <c r="O93" s="57" t="s">
        <v>402</v>
      </c>
    </row>
    <row r="94" ht="13.5" customHeight="1">
      <c r="A94" s="93" t="s">
        <v>639</v>
      </c>
      <c r="B94" s="93" t="s">
        <v>121</v>
      </c>
      <c r="C94" s="94">
        <v>100.0</v>
      </c>
      <c r="D94" s="94">
        <v>90.0</v>
      </c>
      <c r="E94" s="94">
        <v>1.7</v>
      </c>
      <c r="F94" s="94">
        <v>8.7</v>
      </c>
      <c r="G94" s="94">
        <v>6.6</v>
      </c>
      <c r="H94" s="94">
        <v>3.1</v>
      </c>
      <c r="I94" s="93" t="s">
        <v>398</v>
      </c>
      <c r="J94" s="93" t="s">
        <v>640</v>
      </c>
      <c r="K94" s="93" t="s">
        <v>535</v>
      </c>
      <c r="L94" s="89" t="str">
        <f t="shared" si="1"/>
        <v>OK</v>
      </c>
      <c r="M94" s="83"/>
      <c r="O94" s="57" t="s">
        <v>402</v>
      </c>
    </row>
    <row r="95" ht="13.5" customHeight="1">
      <c r="A95" s="93" t="s">
        <v>641</v>
      </c>
      <c r="B95" s="93" t="s">
        <v>121</v>
      </c>
      <c r="C95" s="94">
        <v>100.0</v>
      </c>
      <c r="D95" s="94">
        <v>13.0</v>
      </c>
      <c r="E95" s="94">
        <v>1.8</v>
      </c>
      <c r="F95" s="94">
        <v>2.2</v>
      </c>
      <c r="G95" s="94">
        <v>0.1</v>
      </c>
      <c r="H95" s="94">
        <v>1.7</v>
      </c>
      <c r="I95" s="93" t="s">
        <v>398</v>
      </c>
      <c r="J95" s="93" t="s">
        <v>642</v>
      </c>
      <c r="K95" s="93" t="s">
        <v>535</v>
      </c>
      <c r="L95" s="89" t="str">
        <f t="shared" si="1"/>
        <v>OK</v>
      </c>
      <c r="M95" s="83"/>
      <c r="O95" s="57" t="s">
        <v>402</v>
      </c>
    </row>
    <row r="96" ht="13.5" customHeight="1">
      <c r="A96" s="93" t="s">
        <v>643</v>
      </c>
      <c r="B96" s="93" t="s">
        <v>121</v>
      </c>
      <c r="C96" s="94">
        <v>100.0</v>
      </c>
      <c r="D96" s="94">
        <v>17.0</v>
      </c>
      <c r="E96" s="94">
        <v>0.9</v>
      </c>
      <c r="F96" s="94">
        <v>3.9</v>
      </c>
      <c r="G96" s="94">
        <v>0.1</v>
      </c>
      <c r="H96" s="94">
        <v>1.9</v>
      </c>
      <c r="I96" s="93" t="s">
        <v>398</v>
      </c>
      <c r="J96" s="93" t="s">
        <v>644</v>
      </c>
      <c r="K96" s="93" t="s">
        <v>535</v>
      </c>
      <c r="L96" s="89" t="str">
        <f t="shared" si="1"/>
        <v>OK</v>
      </c>
      <c r="M96" s="83"/>
      <c r="O96" s="57" t="s">
        <v>402</v>
      </c>
    </row>
    <row r="97" ht="13.5" customHeight="1">
      <c r="A97" s="93" t="s">
        <v>645</v>
      </c>
      <c r="B97" s="93" t="s">
        <v>121</v>
      </c>
      <c r="C97" s="94">
        <v>100.0</v>
      </c>
      <c r="D97" s="94">
        <v>23.0</v>
      </c>
      <c r="E97" s="94">
        <v>1.0</v>
      </c>
      <c r="F97" s="94">
        <v>5.5</v>
      </c>
      <c r="G97" s="94">
        <v>0.1</v>
      </c>
      <c r="H97" s="94">
        <v>1.6</v>
      </c>
      <c r="I97" s="93" t="s">
        <v>398</v>
      </c>
      <c r="J97" s="93" t="s">
        <v>646</v>
      </c>
      <c r="K97" s="93" t="s">
        <v>535</v>
      </c>
      <c r="L97" s="89" t="str">
        <f t="shared" si="1"/>
        <v>OK</v>
      </c>
      <c r="M97" s="83"/>
      <c r="O97" s="57" t="s">
        <v>402</v>
      </c>
    </row>
    <row r="98" ht="13.5" customHeight="1">
      <c r="A98" s="93" t="s">
        <v>331</v>
      </c>
      <c r="B98" s="93" t="s">
        <v>121</v>
      </c>
      <c r="C98" s="94">
        <v>100.0</v>
      </c>
      <c r="D98" s="94">
        <v>588.0</v>
      </c>
      <c r="E98" s="94">
        <v>25.0</v>
      </c>
      <c r="F98" s="94">
        <v>20.0</v>
      </c>
      <c r="G98" s="94">
        <v>50.0</v>
      </c>
      <c r="H98" s="94">
        <v>6.0</v>
      </c>
      <c r="I98" s="93" t="s">
        <v>469</v>
      </c>
      <c r="J98" s="93" t="s">
        <v>647</v>
      </c>
      <c r="K98" s="93" t="s">
        <v>471</v>
      </c>
      <c r="L98" s="89" t="str">
        <f t="shared" si="1"/>
        <v>OK</v>
      </c>
      <c r="M98" s="83"/>
      <c r="O98" s="57" t="s">
        <v>472</v>
      </c>
    </row>
    <row r="99" ht="13.5" customHeight="1">
      <c r="A99" s="93" t="s">
        <v>648</v>
      </c>
      <c r="B99" s="93" t="s">
        <v>121</v>
      </c>
      <c r="C99" s="94">
        <v>100.0</v>
      </c>
      <c r="D99" s="94">
        <v>544.0</v>
      </c>
      <c r="E99" s="94">
        <v>22.5</v>
      </c>
      <c r="F99" s="94">
        <v>20.3</v>
      </c>
      <c r="G99" s="94">
        <v>43.9</v>
      </c>
      <c r="H99" s="94">
        <v>8.0</v>
      </c>
      <c r="I99" s="93" t="s">
        <v>398</v>
      </c>
      <c r="J99" s="93" t="s">
        <v>649</v>
      </c>
      <c r="K99" s="93" t="s">
        <v>535</v>
      </c>
      <c r="L99" s="89" t="str">
        <f t="shared" si="1"/>
        <v>OK</v>
      </c>
      <c r="M99" s="83"/>
      <c r="O99" s="57" t="s">
        <v>402</v>
      </c>
    </row>
    <row r="100" ht="13.5" customHeight="1">
      <c r="A100" s="93" t="s">
        <v>650</v>
      </c>
      <c r="B100" s="93" t="s">
        <v>121</v>
      </c>
      <c r="C100" s="94">
        <v>100.0</v>
      </c>
      <c r="D100" s="94">
        <v>570.0</v>
      </c>
      <c r="E100" s="94">
        <v>18.5</v>
      </c>
      <c r="F100" s="94">
        <v>29.1</v>
      </c>
      <c r="G100" s="94">
        <v>46.3</v>
      </c>
      <c r="H100" s="94">
        <v>3.7</v>
      </c>
      <c r="I100" s="93" t="s">
        <v>398</v>
      </c>
      <c r="J100" s="93" t="s">
        <v>651</v>
      </c>
      <c r="K100" s="93" t="s">
        <v>535</v>
      </c>
      <c r="L100" s="89" t="str">
        <f t="shared" si="1"/>
        <v>OK</v>
      </c>
      <c r="M100" s="83"/>
      <c r="O100" s="57" t="s">
        <v>402</v>
      </c>
    </row>
    <row r="101" ht="13.5" customHeight="1">
      <c r="A101" s="93" t="s">
        <v>333</v>
      </c>
      <c r="B101" s="93" t="s">
        <v>121</v>
      </c>
      <c r="C101" s="94">
        <v>100.0</v>
      </c>
      <c r="D101" s="94">
        <v>643.0</v>
      </c>
      <c r="E101" s="94">
        <v>14.5</v>
      </c>
      <c r="F101" s="94">
        <v>15.1</v>
      </c>
      <c r="G101" s="94">
        <v>63.5</v>
      </c>
      <c r="H101" s="94">
        <v>7.9</v>
      </c>
      <c r="I101" s="93" t="s">
        <v>398</v>
      </c>
      <c r="J101" s="93" t="s">
        <v>652</v>
      </c>
      <c r="K101" s="93" t="s">
        <v>535</v>
      </c>
      <c r="L101" s="89" t="str">
        <f t="shared" si="1"/>
        <v>OK</v>
      </c>
      <c r="M101" s="83"/>
      <c r="O101" s="57" t="s">
        <v>402</v>
      </c>
    </row>
    <row r="102" ht="13.5" customHeight="1">
      <c r="A102" s="93" t="s">
        <v>653</v>
      </c>
      <c r="B102" s="93" t="s">
        <v>121</v>
      </c>
      <c r="C102" s="94">
        <v>100.0</v>
      </c>
      <c r="D102" s="94">
        <v>620.0</v>
      </c>
      <c r="E102" s="94">
        <v>14.0</v>
      </c>
      <c r="F102" s="94">
        <v>18.4</v>
      </c>
      <c r="G102" s="94">
        <v>59.4</v>
      </c>
      <c r="H102" s="94">
        <v>7.2</v>
      </c>
      <c r="I102" s="93" t="s">
        <v>398</v>
      </c>
      <c r="J102" s="93" t="s">
        <v>476</v>
      </c>
      <c r="K102" s="93" t="s">
        <v>535</v>
      </c>
      <c r="L102" s="89" t="str">
        <f t="shared" si="1"/>
        <v>OK</v>
      </c>
      <c r="M102" s="83"/>
      <c r="O102" s="57" t="s">
        <v>402</v>
      </c>
    </row>
    <row r="103" ht="13.5" customHeight="1">
      <c r="A103" s="93" t="s">
        <v>654</v>
      </c>
      <c r="B103" s="93" t="s">
        <v>121</v>
      </c>
      <c r="C103" s="94">
        <v>100.0</v>
      </c>
      <c r="D103" s="94">
        <v>726.0</v>
      </c>
      <c r="E103" s="94">
        <v>0.4</v>
      </c>
      <c r="F103" s="94">
        <v>0.0</v>
      </c>
      <c r="G103" s="94">
        <v>82.4</v>
      </c>
      <c r="H103" s="94">
        <v>0.0</v>
      </c>
      <c r="I103" s="93" t="s">
        <v>398</v>
      </c>
      <c r="J103" s="93" t="s">
        <v>655</v>
      </c>
      <c r="K103" s="93" t="s">
        <v>535</v>
      </c>
      <c r="L103" s="89" t="str">
        <f t="shared" si="1"/>
        <v>OK</v>
      </c>
      <c r="M103" s="83"/>
      <c r="O103" s="57" t="s">
        <v>402</v>
      </c>
    </row>
    <row r="104" ht="13.5" customHeight="1">
      <c r="A104" s="93" t="s">
        <v>656</v>
      </c>
      <c r="B104" s="93" t="s">
        <v>121</v>
      </c>
      <c r="C104" s="94">
        <v>100.0</v>
      </c>
      <c r="D104" s="94">
        <v>884.0</v>
      </c>
      <c r="E104" s="94">
        <v>0.0</v>
      </c>
      <c r="F104" s="94">
        <v>0.0</v>
      </c>
      <c r="G104" s="94">
        <v>100.0</v>
      </c>
      <c r="H104" s="94">
        <v>0.0</v>
      </c>
      <c r="I104" s="93" t="s">
        <v>398</v>
      </c>
      <c r="J104" s="93" t="s">
        <v>657</v>
      </c>
      <c r="K104" s="93" t="s">
        <v>535</v>
      </c>
      <c r="L104" s="89" t="str">
        <f t="shared" si="1"/>
        <v>OK</v>
      </c>
      <c r="M104" s="83"/>
      <c r="O104" s="57" t="s">
        <v>402</v>
      </c>
    </row>
    <row r="105" ht="13.5" customHeight="1">
      <c r="A105" s="93" t="s">
        <v>658</v>
      </c>
      <c r="B105" s="93" t="s">
        <v>121</v>
      </c>
      <c r="C105" s="94">
        <v>100.0</v>
      </c>
      <c r="D105" s="94">
        <v>892.0</v>
      </c>
      <c r="E105" s="94">
        <v>0.0</v>
      </c>
      <c r="F105" s="94">
        <v>0.0</v>
      </c>
      <c r="G105" s="94">
        <v>99.1</v>
      </c>
      <c r="H105" s="94">
        <v>0.0</v>
      </c>
      <c r="I105" s="93" t="s">
        <v>469</v>
      </c>
      <c r="J105" s="93" t="s">
        <v>497</v>
      </c>
      <c r="K105" s="93" t="s">
        <v>471</v>
      </c>
      <c r="L105" s="89" t="str">
        <f t="shared" si="1"/>
        <v>OK</v>
      </c>
      <c r="M105" s="83"/>
      <c r="O105" s="57" t="s">
        <v>472</v>
      </c>
    </row>
    <row r="106" ht="13.5" customHeight="1">
      <c r="A106" s="93" t="s">
        <v>659</v>
      </c>
      <c r="B106" s="93" t="s">
        <v>121</v>
      </c>
      <c r="C106" s="94">
        <v>100.0</v>
      </c>
      <c r="D106" s="94">
        <v>486.0</v>
      </c>
      <c r="E106" s="94">
        <v>16.5</v>
      </c>
      <c r="F106" s="94">
        <v>42.1</v>
      </c>
      <c r="G106" s="94">
        <v>30.7</v>
      </c>
      <c r="H106" s="94">
        <v>34.4</v>
      </c>
      <c r="I106" s="93" t="s">
        <v>469</v>
      </c>
      <c r="J106" s="93" t="s">
        <v>660</v>
      </c>
      <c r="K106" s="93" t="s">
        <v>471</v>
      </c>
      <c r="L106" s="89" t="str">
        <f t="shared" si="1"/>
        <v>OK</v>
      </c>
      <c r="M106" s="83"/>
      <c r="O106" s="57" t="s">
        <v>472</v>
      </c>
    </row>
    <row r="107" ht="13.5" customHeight="1">
      <c r="A107" s="93" t="s">
        <v>661</v>
      </c>
      <c r="B107" s="93" t="s">
        <v>121</v>
      </c>
      <c r="C107" s="94">
        <v>100.0</v>
      </c>
      <c r="D107" s="94">
        <v>495.0</v>
      </c>
      <c r="E107" s="94">
        <v>14.1</v>
      </c>
      <c r="F107" s="94">
        <v>43.3</v>
      </c>
      <c r="G107" s="94">
        <v>32.3</v>
      </c>
      <c r="H107" s="94">
        <v>33.5</v>
      </c>
      <c r="I107" s="93" t="s">
        <v>398</v>
      </c>
      <c r="J107" s="93" t="s">
        <v>660</v>
      </c>
      <c r="K107" s="93" t="s">
        <v>535</v>
      </c>
      <c r="L107" s="89" t="str">
        <f t="shared" si="1"/>
        <v>OK</v>
      </c>
      <c r="M107" s="83"/>
      <c r="O107" s="57" t="s">
        <v>402</v>
      </c>
    </row>
    <row r="108" ht="13.5" customHeight="1">
      <c r="A108" s="93" t="s">
        <v>662</v>
      </c>
      <c r="B108" s="93" t="s">
        <v>121</v>
      </c>
      <c r="C108" s="94">
        <v>100.0</v>
      </c>
      <c r="D108" s="94">
        <v>400.0</v>
      </c>
      <c r="E108" s="94">
        <v>80.0</v>
      </c>
      <c r="F108" s="94">
        <v>6.7</v>
      </c>
      <c r="G108" s="94">
        <v>6.7</v>
      </c>
      <c r="H108" s="94">
        <v>0.0</v>
      </c>
      <c r="I108" s="93" t="s">
        <v>469</v>
      </c>
      <c r="J108" s="93" t="s">
        <v>663</v>
      </c>
      <c r="K108" s="93" t="s">
        <v>471</v>
      </c>
      <c r="L108" s="89" t="str">
        <f t="shared" si="1"/>
        <v>OK</v>
      </c>
      <c r="M108" s="83"/>
      <c r="O108" s="57" t="s">
        <v>472</v>
      </c>
    </row>
    <row r="109" ht="13.5" customHeight="1">
      <c r="A109" s="93" t="s">
        <v>664</v>
      </c>
      <c r="B109" s="93" t="s">
        <v>121</v>
      </c>
      <c r="C109" s="94">
        <v>100.0</v>
      </c>
      <c r="D109" s="94">
        <v>365.0</v>
      </c>
      <c r="E109" s="94">
        <v>90.0</v>
      </c>
      <c r="F109" s="94">
        <v>1.5</v>
      </c>
      <c r="G109" s="94">
        <v>0.0</v>
      </c>
      <c r="H109" s="94">
        <v>0.0</v>
      </c>
      <c r="I109" s="93" t="s">
        <v>469</v>
      </c>
      <c r="J109" s="93" t="s">
        <v>665</v>
      </c>
      <c r="K109" s="93" t="s">
        <v>471</v>
      </c>
      <c r="L109" s="89" t="str">
        <f t="shared" si="1"/>
        <v>OK</v>
      </c>
      <c r="M109" s="83"/>
      <c r="O109" s="57" t="s">
        <v>472</v>
      </c>
    </row>
    <row r="110" ht="13.5" customHeight="1">
      <c r="A110" s="93" t="s">
        <v>666</v>
      </c>
      <c r="B110" s="93" t="s">
        <v>121</v>
      </c>
      <c r="C110" s="94">
        <v>100.0</v>
      </c>
      <c r="D110" s="94">
        <v>375.0</v>
      </c>
      <c r="E110" s="94">
        <v>80.0</v>
      </c>
      <c r="F110" s="94">
        <v>5.0</v>
      </c>
      <c r="G110" s="94">
        <v>0.0</v>
      </c>
      <c r="H110" s="94">
        <v>0.0</v>
      </c>
      <c r="I110" s="93" t="s">
        <v>469</v>
      </c>
      <c r="J110" s="93" t="s">
        <v>667</v>
      </c>
      <c r="K110" s="93" t="s">
        <v>471</v>
      </c>
      <c r="L110" s="89" t="str">
        <f t="shared" si="1"/>
        <v>OK</v>
      </c>
      <c r="M110" s="83"/>
      <c r="O110" s="57" t="s">
        <v>472</v>
      </c>
    </row>
    <row r="111" ht="13.5" customHeight="1">
      <c r="A111" s="93" t="s">
        <v>668</v>
      </c>
      <c r="B111" s="93" t="s">
        <v>121</v>
      </c>
      <c r="C111" s="94">
        <v>100.0</v>
      </c>
      <c r="D111" s="94">
        <v>0.0</v>
      </c>
      <c r="E111" s="94">
        <v>0.0</v>
      </c>
      <c r="F111" s="94">
        <v>0.0</v>
      </c>
      <c r="G111" s="94">
        <v>0.0</v>
      </c>
      <c r="H111" s="94">
        <v>0.0</v>
      </c>
      <c r="I111" s="93" t="s">
        <v>469</v>
      </c>
      <c r="J111" s="93" t="s">
        <v>669</v>
      </c>
      <c r="K111" s="93" t="s">
        <v>471</v>
      </c>
      <c r="L111" s="89" t="str">
        <f t="shared" si="1"/>
        <v>OK</v>
      </c>
      <c r="M111" s="89"/>
      <c r="O111" s="57" t="s">
        <v>472</v>
      </c>
    </row>
    <row r="112" ht="13.5" customHeight="1">
      <c r="A112" s="93" t="s">
        <v>670</v>
      </c>
      <c r="B112" s="93" t="s">
        <v>121</v>
      </c>
      <c r="C112" s="94">
        <v>100.0</v>
      </c>
      <c r="D112" s="94">
        <v>380.0</v>
      </c>
      <c r="E112" s="94">
        <v>0.0</v>
      </c>
      <c r="F112" s="94">
        <v>95.0</v>
      </c>
      <c r="G112" s="94">
        <v>0.0</v>
      </c>
      <c r="H112" s="94">
        <v>0.0</v>
      </c>
      <c r="I112" s="93" t="s">
        <v>469</v>
      </c>
      <c r="J112" s="93" t="s">
        <v>671</v>
      </c>
      <c r="K112" s="93" t="s">
        <v>471</v>
      </c>
      <c r="L112" s="89" t="str">
        <f t="shared" si="1"/>
        <v>OK</v>
      </c>
      <c r="M112" s="89"/>
      <c r="O112" s="57" t="s">
        <v>472</v>
      </c>
    </row>
    <row r="113" ht="13.5" customHeight="1">
      <c r="A113" s="93" t="s">
        <v>672</v>
      </c>
      <c r="B113" s="93" t="s">
        <v>121</v>
      </c>
      <c r="C113" s="94">
        <v>100.0</v>
      </c>
      <c r="D113" s="94">
        <v>309.0</v>
      </c>
      <c r="E113" s="94">
        <v>0.0</v>
      </c>
      <c r="F113" s="94">
        <v>84.0</v>
      </c>
      <c r="G113" s="94">
        <v>0.0</v>
      </c>
      <c r="H113" s="94">
        <v>0.0</v>
      </c>
      <c r="I113" s="93" t="s">
        <v>398</v>
      </c>
      <c r="J113" s="93" t="s">
        <v>673</v>
      </c>
      <c r="K113" s="93" t="s">
        <v>535</v>
      </c>
      <c r="L113" s="89" t="str">
        <f t="shared" si="1"/>
        <v>OK</v>
      </c>
      <c r="M113" s="89"/>
      <c r="O113" s="57" t="s">
        <v>402</v>
      </c>
    </row>
    <row r="114" ht="13.5" customHeight="1">
      <c r="A114" s="93" t="s">
        <v>674</v>
      </c>
      <c r="B114" s="93" t="s">
        <v>121</v>
      </c>
      <c r="C114" s="94">
        <v>100.0</v>
      </c>
      <c r="D114" s="94">
        <v>315.0</v>
      </c>
      <c r="E114" s="94">
        <v>5.5</v>
      </c>
      <c r="F114" s="94">
        <v>59.5</v>
      </c>
      <c r="G114" s="94">
        <v>6.0</v>
      </c>
      <c r="H114" s="94">
        <v>0.0</v>
      </c>
      <c r="I114" s="93" t="s">
        <v>398</v>
      </c>
      <c r="J114" s="93" t="s">
        <v>577</v>
      </c>
      <c r="K114" s="93" t="s">
        <v>535</v>
      </c>
      <c r="L114" s="89" t="str">
        <f t="shared" si="1"/>
        <v>OK</v>
      </c>
      <c r="M114" s="89"/>
      <c r="O114" s="57" t="s">
        <v>402</v>
      </c>
    </row>
    <row r="115" ht="13.5" customHeight="1">
      <c r="A115" s="93" t="s">
        <v>234</v>
      </c>
      <c r="B115" s="93" t="s">
        <v>121</v>
      </c>
      <c r="C115" s="94">
        <v>100.0</v>
      </c>
      <c r="D115" s="94">
        <v>143.0</v>
      </c>
      <c r="E115" s="94">
        <v>13.0</v>
      </c>
      <c r="F115" s="94">
        <v>1.6</v>
      </c>
      <c r="G115" s="94">
        <v>8.9</v>
      </c>
      <c r="H115" s="94">
        <v>0.0</v>
      </c>
      <c r="I115" s="93" t="s">
        <v>398</v>
      </c>
      <c r="J115" s="93" t="s">
        <v>675</v>
      </c>
      <c r="K115" s="93" t="s">
        <v>535</v>
      </c>
      <c r="L115" s="89" t="str">
        <f t="shared" si="1"/>
        <v>OK</v>
      </c>
      <c r="M115" s="89" t="s">
        <v>401</v>
      </c>
      <c r="N115" s="57">
        <v>50.0</v>
      </c>
      <c r="O115" s="57" t="s">
        <v>402</v>
      </c>
    </row>
    <row r="116" ht="13.5" customHeight="1">
      <c r="B116" s="67"/>
    </row>
    <row r="117" ht="13.5" customHeight="1">
      <c r="B117" s="67"/>
    </row>
    <row r="118" ht="13.5" customHeight="1">
      <c r="B118" s="67"/>
    </row>
    <row r="119" ht="13.5" customHeight="1">
      <c r="B119" s="67"/>
    </row>
    <row r="120" ht="13.5" customHeight="1">
      <c r="B120" s="67"/>
    </row>
    <row r="121" ht="13.5" customHeight="1">
      <c r="B121" s="67"/>
    </row>
    <row r="122" ht="13.5" customHeight="1">
      <c r="B122" s="67"/>
    </row>
    <row r="123" ht="13.5" customHeight="1">
      <c r="B123" s="67"/>
    </row>
    <row r="124" ht="13.5" customHeight="1">
      <c r="B124" s="67"/>
    </row>
    <row r="125" ht="13.5" customHeight="1">
      <c r="B125" s="67"/>
    </row>
    <row r="126" ht="13.5" customHeight="1">
      <c r="B126" s="67"/>
    </row>
    <row r="127" ht="13.5" customHeight="1">
      <c r="B127" s="67"/>
    </row>
    <row r="128" ht="13.5" customHeight="1">
      <c r="B128" s="67"/>
    </row>
    <row r="129" ht="13.5" customHeight="1">
      <c r="B129" s="67"/>
    </row>
    <row r="130" ht="13.5" customHeight="1">
      <c r="B130" s="67"/>
    </row>
    <row r="131" ht="13.5" customHeight="1">
      <c r="B131" s="67"/>
    </row>
    <row r="132" ht="13.5" customHeight="1">
      <c r="B132" s="67"/>
    </row>
    <row r="133" ht="13.5" customHeight="1">
      <c r="B133" s="67"/>
    </row>
    <row r="134" ht="13.5" customHeight="1">
      <c r="B134" s="67"/>
    </row>
    <row r="135" ht="13.5" customHeight="1">
      <c r="B135" s="67"/>
    </row>
    <row r="136" ht="13.5" customHeight="1">
      <c r="B136" s="67"/>
    </row>
    <row r="137" ht="13.5" customHeight="1">
      <c r="B137" s="67"/>
    </row>
    <row r="138" ht="13.5" customHeight="1">
      <c r="B138" s="67"/>
    </row>
    <row r="139" ht="13.5" customHeight="1">
      <c r="B139" s="67"/>
    </row>
    <row r="140" ht="13.5" customHeight="1">
      <c r="B140" s="67"/>
    </row>
    <row r="141" ht="13.5" customHeight="1">
      <c r="B141" s="67"/>
    </row>
    <row r="142" ht="13.5" customHeight="1">
      <c r="B142" s="67"/>
    </row>
    <row r="143" ht="13.5" customHeight="1">
      <c r="B143" s="67"/>
    </row>
    <row r="144" ht="13.5" customHeight="1">
      <c r="B144" s="67"/>
    </row>
    <row r="145" ht="13.5" customHeight="1">
      <c r="B145" s="67"/>
    </row>
    <row r="146" ht="13.5" customHeight="1">
      <c r="B146" s="67"/>
    </row>
    <row r="147" ht="13.5" customHeight="1">
      <c r="B147" s="67"/>
    </row>
    <row r="148" ht="13.5" customHeight="1">
      <c r="B148" s="67"/>
    </row>
    <row r="149" ht="13.5" customHeight="1">
      <c r="B149" s="67"/>
    </row>
    <row r="150" ht="13.5" customHeight="1">
      <c r="B150" s="67"/>
    </row>
    <row r="151" ht="13.5" customHeight="1">
      <c r="B151" s="67"/>
    </row>
    <row r="152" ht="13.5" customHeight="1">
      <c r="B152" s="67"/>
    </row>
    <row r="153" ht="13.5" customHeight="1">
      <c r="B153" s="67"/>
    </row>
    <row r="154" ht="13.5" customHeight="1">
      <c r="B154" s="67"/>
    </row>
    <row r="155" ht="13.5" customHeight="1">
      <c r="B155" s="67"/>
    </row>
    <row r="156" ht="13.5" customHeight="1">
      <c r="B156" s="67"/>
    </row>
    <row r="157" ht="13.5" customHeight="1">
      <c r="B157" s="67"/>
    </row>
    <row r="158" ht="13.5" customHeight="1">
      <c r="B158" s="67"/>
    </row>
    <row r="159" ht="13.5" customHeight="1">
      <c r="B159" s="67"/>
    </row>
    <row r="160" ht="13.5" customHeight="1">
      <c r="B160" s="67"/>
    </row>
    <row r="161" ht="13.5" customHeight="1">
      <c r="B161" s="67"/>
    </row>
    <row r="162" ht="13.5" customHeight="1">
      <c r="B162" s="67"/>
    </row>
    <row r="163" ht="13.5" customHeight="1">
      <c r="B163" s="67"/>
    </row>
    <row r="164" ht="13.5" customHeight="1">
      <c r="B164" s="67"/>
    </row>
    <row r="165" ht="13.5" customHeight="1">
      <c r="B165" s="67"/>
    </row>
    <row r="166" ht="13.5" customHeight="1">
      <c r="B166" s="67"/>
    </row>
    <row r="167" ht="13.5" customHeight="1">
      <c r="B167" s="67"/>
    </row>
    <row r="168" ht="13.5" customHeight="1">
      <c r="B168" s="67"/>
    </row>
    <row r="169" ht="13.5" customHeight="1">
      <c r="B169" s="67"/>
    </row>
    <row r="170" ht="13.5" customHeight="1">
      <c r="B170" s="67"/>
    </row>
    <row r="171" ht="13.5" customHeight="1">
      <c r="B171" s="67"/>
    </row>
    <row r="172" ht="13.5" customHeight="1">
      <c r="B172" s="67"/>
    </row>
    <row r="173" ht="13.5" customHeight="1">
      <c r="B173" s="67"/>
    </row>
    <row r="174" ht="13.5" customHeight="1">
      <c r="B174" s="67"/>
    </row>
    <row r="175" ht="13.5" customHeight="1">
      <c r="B175" s="67"/>
    </row>
    <row r="176" ht="13.5" customHeight="1">
      <c r="B176" s="67"/>
    </row>
    <row r="177" ht="13.5" customHeight="1">
      <c r="B177" s="67"/>
    </row>
    <row r="178" ht="13.5" customHeight="1">
      <c r="B178" s="67"/>
    </row>
    <row r="179" ht="13.5" customHeight="1">
      <c r="B179" s="67"/>
    </row>
    <row r="180" ht="13.5" customHeight="1">
      <c r="B180" s="67"/>
    </row>
    <row r="181" ht="13.5" customHeight="1">
      <c r="B181" s="67"/>
    </row>
    <row r="182" ht="13.5" customHeight="1">
      <c r="B182" s="67"/>
    </row>
    <row r="183" ht="13.5" customHeight="1">
      <c r="B183" s="67"/>
    </row>
    <row r="184" ht="13.5" customHeight="1">
      <c r="B184" s="67"/>
    </row>
    <row r="185" ht="13.5" customHeight="1">
      <c r="B185" s="67"/>
    </row>
    <row r="186" ht="13.5" customHeight="1">
      <c r="B186" s="67"/>
    </row>
    <row r="187" ht="13.5" customHeight="1">
      <c r="B187" s="67"/>
    </row>
    <row r="188" ht="13.5" customHeight="1">
      <c r="B188" s="67"/>
    </row>
    <row r="189" ht="13.5" customHeight="1">
      <c r="B189" s="67"/>
    </row>
    <row r="190" ht="13.5" customHeight="1">
      <c r="B190" s="67"/>
    </row>
    <row r="191" ht="13.5" customHeight="1">
      <c r="B191" s="67"/>
    </row>
    <row r="192" ht="13.5" customHeight="1">
      <c r="B192" s="67"/>
    </row>
    <row r="193" ht="13.5" customHeight="1">
      <c r="B193" s="67"/>
    </row>
    <row r="194" ht="13.5" customHeight="1">
      <c r="B194" s="67"/>
    </row>
    <row r="195" ht="13.5" customHeight="1">
      <c r="B195" s="67"/>
    </row>
    <row r="196" ht="13.5" customHeight="1">
      <c r="B196" s="67"/>
    </row>
    <row r="197" ht="13.5" customHeight="1">
      <c r="B197" s="67"/>
    </row>
    <row r="198" ht="13.5" customHeight="1">
      <c r="B198" s="67"/>
    </row>
    <row r="199" ht="13.5" customHeight="1">
      <c r="B199" s="67"/>
    </row>
    <row r="200" ht="13.5" customHeight="1">
      <c r="B200" s="67"/>
    </row>
    <row r="201" ht="13.5" customHeight="1">
      <c r="B201" s="67"/>
    </row>
    <row r="202" ht="13.5" customHeight="1">
      <c r="B202" s="67"/>
    </row>
    <row r="203" ht="13.5" customHeight="1">
      <c r="B203" s="67"/>
    </row>
    <row r="204" ht="13.5" customHeight="1">
      <c r="B204" s="67"/>
    </row>
    <row r="205" ht="13.5" customHeight="1">
      <c r="B205" s="67"/>
    </row>
    <row r="206" ht="13.5" customHeight="1">
      <c r="B206" s="67"/>
    </row>
    <row r="207" ht="13.5" customHeight="1">
      <c r="B207" s="67"/>
    </row>
    <row r="208" ht="13.5" customHeight="1">
      <c r="B208" s="67"/>
    </row>
    <row r="209" ht="13.5" customHeight="1">
      <c r="B209" s="67"/>
    </row>
    <row r="210" ht="13.5" customHeight="1">
      <c r="B210" s="67"/>
    </row>
    <row r="211" ht="13.5" customHeight="1">
      <c r="B211" s="67"/>
    </row>
    <row r="212" ht="13.5" customHeight="1">
      <c r="B212" s="67"/>
    </row>
    <row r="213" ht="13.5" customHeight="1">
      <c r="B213" s="67"/>
    </row>
    <row r="214" ht="13.5" customHeight="1">
      <c r="B214" s="67"/>
    </row>
    <row r="215" ht="13.5" customHeight="1">
      <c r="B215" s="67"/>
    </row>
    <row r="216" ht="13.5" customHeight="1">
      <c r="B216" s="67"/>
    </row>
    <row r="217" ht="13.5" customHeight="1">
      <c r="B217" s="67"/>
    </row>
    <row r="218" ht="13.5" customHeight="1">
      <c r="B218" s="67"/>
    </row>
    <row r="219" ht="13.5" customHeight="1">
      <c r="B219" s="67"/>
    </row>
    <row r="220" ht="13.5" customHeight="1">
      <c r="B220" s="67"/>
    </row>
    <row r="221" ht="13.5" customHeight="1">
      <c r="B221" s="67"/>
    </row>
    <row r="222" ht="13.5" customHeight="1">
      <c r="B222" s="67"/>
    </row>
    <row r="223" ht="13.5" customHeight="1">
      <c r="B223" s="67"/>
    </row>
    <row r="224" ht="13.5" customHeight="1">
      <c r="B224" s="67"/>
    </row>
    <row r="225" ht="13.5" customHeight="1">
      <c r="B225" s="67"/>
    </row>
    <row r="226" ht="13.5" customHeight="1">
      <c r="B226" s="67"/>
    </row>
    <row r="227" ht="13.5" customHeight="1">
      <c r="B227" s="67"/>
    </row>
    <row r="228" ht="13.5" customHeight="1">
      <c r="B228" s="67"/>
    </row>
    <row r="229" ht="13.5" customHeight="1">
      <c r="B229" s="67"/>
    </row>
    <row r="230" ht="13.5" customHeight="1">
      <c r="B230" s="67"/>
    </row>
    <row r="231" ht="13.5" customHeight="1">
      <c r="B231" s="67"/>
    </row>
    <row r="232" ht="13.5" customHeight="1">
      <c r="B232" s="67"/>
    </row>
    <row r="233" ht="13.5" customHeight="1">
      <c r="B233" s="67"/>
    </row>
    <row r="234" ht="13.5" customHeight="1">
      <c r="B234" s="67"/>
    </row>
    <row r="235" ht="13.5" customHeight="1">
      <c r="B235" s="67"/>
    </row>
    <row r="236" ht="13.5" customHeight="1">
      <c r="B236" s="67"/>
    </row>
    <row r="237" ht="13.5" customHeight="1">
      <c r="B237" s="67"/>
    </row>
    <row r="238" ht="13.5" customHeight="1">
      <c r="B238" s="67"/>
    </row>
    <row r="239" ht="13.5" customHeight="1">
      <c r="B239" s="67"/>
    </row>
    <row r="240" ht="13.5" customHeight="1">
      <c r="B240" s="67"/>
    </row>
    <row r="241" ht="13.5" customHeight="1">
      <c r="B241" s="67"/>
    </row>
    <row r="242" ht="13.5" customHeight="1">
      <c r="B242" s="67"/>
    </row>
    <row r="243" ht="13.5" customHeight="1">
      <c r="B243" s="67"/>
    </row>
    <row r="244" ht="13.5" customHeight="1">
      <c r="B244" s="67"/>
    </row>
    <row r="245" ht="13.5" customHeight="1">
      <c r="B245" s="67"/>
    </row>
    <row r="246" ht="13.5" customHeight="1">
      <c r="B246" s="67"/>
    </row>
    <row r="247" ht="13.5" customHeight="1">
      <c r="B247" s="67"/>
    </row>
    <row r="248" ht="13.5" customHeight="1">
      <c r="B248" s="67"/>
    </row>
    <row r="249" ht="13.5" customHeight="1">
      <c r="B249" s="67"/>
    </row>
    <row r="250" ht="13.5" customHeight="1">
      <c r="B250" s="67"/>
    </row>
    <row r="251" ht="13.5" customHeight="1">
      <c r="B251" s="67"/>
    </row>
    <row r="252" ht="13.5" customHeight="1">
      <c r="B252" s="67"/>
    </row>
    <row r="253" ht="13.5" customHeight="1">
      <c r="B253" s="67"/>
    </row>
    <row r="254" ht="13.5" customHeight="1">
      <c r="B254" s="67"/>
    </row>
    <row r="255" ht="13.5" customHeight="1">
      <c r="B255" s="67"/>
    </row>
    <row r="256" ht="13.5" customHeight="1">
      <c r="B256" s="67"/>
    </row>
    <row r="257" ht="13.5" customHeight="1">
      <c r="B257" s="67"/>
    </row>
    <row r="258" ht="13.5" customHeight="1">
      <c r="B258" s="67"/>
    </row>
    <row r="259" ht="13.5" customHeight="1">
      <c r="B259" s="67"/>
    </row>
    <row r="260" ht="13.5" customHeight="1">
      <c r="B260" s="67"/>
    </row>
    <row r="261" ht="13.5" customHeight="1">
      <c r="B261" s="67"/>
    </row>
    <row r="262" ht="13.5" customHeight="1">
      <c r="B262" s="67"/>
    </row>
    <row r="263" ht="13.5" customHeight="1">
      <c r="B263" s="67"/>
    </row>
    <row r="264" ht="13.5" customHeight="1">
      <c r="B264" s="67"/>
    </row>
    <row r="265" ht="13.5" customHeight="1">
      <c r="B265" s="67"/>
    </row>
    <row r="266" ht="13.5" customHeight="1">
      <c r="B266" s="67"/>
    </row>
    <row r="267" ht="13.5" customHeight="1">
      <c r="B267" s="67"/>
    </row>
    <row r="268" ht="13.5" customHeight="1">
      <c r="B268" s="67"/>
    </row>
    <row r="269" ht="13.5" customHeight="1">
      <c r="B269" s="67"/>
    </row>
    <row r="270" ht="13.5" customHeight="1">
      <c r="B270" s="67"/>
    </row>
    <row r="271" ht="13.5" customHeight="1">
      <c r="B271" s="67"/>
    </row>
    <row r="272" ht="13.5" customHeight="1">
      <c r="B272" s="67"/>
    </row>
    <row r="273" ht="13.5" customHeight="1">
      <c r="B273" s="67"/>
    </row>
    <row r="274" ht="13.5" customHeight="1">
      <c r="B274" s="67"/>
    </row>
    <row r="275" ht="13.5" customHeight="1">
      <c r="B275" s="67"/>
    </row>
    <row r="276" ht="13.5" customHeight="1">
      <c r="B276" s="67"/>
    </row>
    <row r="277" ht="13.5" customHeight="1">
      <c r="B277" s="67"/>
    </row>
    <row r="278" ht="13.5" customHeight="1">
      <c r="B278" s="67"/>
    </row>
    <row r="279" ht="13.5" customHeight="1">
      <c r="B279" s="67"/>
    </row>
    <row r="280" ht="13.5" customHeight="1">
      <c r="B280" s="67"/>
    </row>
    <row r="281" ht="13.5" customHeight="1">
      <c r="B281" s="67"/>
    </row>
    <row r="282" ht="13.5" customHeight="1">
      <c r="B282" s="67"/>
    </row>
    <row r="283" ht="13.5" customHeight="1">
      <c r="B283" s="67"/>
    </row>
    <row r="284" ht="13.5" customHeight="1">
      <c r="B284" s="67"/>
    </row>
    <row r="285" ht="13.5" customHeight="1">
      <c r="B285" s="67"/>
    </row>
    <row r="286" ht="13.5" customHeight="1">
      <c r="B286" s="67"/>
    </row>
    <row r="287" ht="13.5" customHeight="1">
      <c r="B287" s="67"/>
    </row>
    <row r="288" ht="13.5" customHeight="1">
      <c r="B288" s="67"/>
    </row>
    <row r="289" ht="13.5" customHeight="1">
      <c r="B289" s="67"/>
    </row>
    <row r="290" ht="13.5" customHeight="1">
      <c r="B290" s="67"/>
    </row>
    <row r="291" ht="13.5" customHeight="1">
      <c r="B291" s="67"/>
    </row>
    <row r="292" ht="13.5" customHeight="1">
      <c r="B292" s="67"/>
    </row>
    <row r="293" ht="13.5" customHeight="1">
      <c r="B293" s="67"/>
    </row>
    <row r="294" ht="13.5" customHeight="1">
      <c r="B294" s="67"/>
    </row>
    <row r="295" ht="13.5" customHeight="1">
      <c r="B295" s="67"/>
    </row>
    <row r="296" ht="13.5" customHeight="1">
      <c r="B296" s="67"/>
    </row>
    <row r="297" ht="13.5" customHeight="1">
      <c r="B297" s="67"/>
    </row>
    <row r="298" ht="13.5" customHeight="1">
      <c r="B298" s="67"/>
    </row>
    <row r="299" ht="13.5" customHeight="1">
      <c r="B299" s="67"/>
    </row>
    <row r="300" ht="13.5" customHeight="1">
      <c r="B300" s="67"/>
    </row>
    <row r="301" ht="13.5" customHeight="1">
      <c r="B301" s="67"/>
    </row>
    <row r="302" ht="13.5" customHeight="1">
      <c r="B302" s="67"/>
    </row>
    <row r="303" ht="13.5" customHeight="1">
      <c r="B303" s="67"/>
    </row>
    <row r="304" ht="13.5" customHeight="1">
      <c r="B304" s="67"/>
    </row>
    <row r="305" ht="13.5" customHeight="1">
      <c r="B305" s="67"/>
    </row>
    <row r="306" ht="13.5" customHeight="1">
      <c r="B306" s="67"/>
    </row>
    <row r="307" ht="13.5" customHeight="1">
      <c r="B307" s="67"/>
    </row>
    <row r="308" ht="13.5" customHeight="1">
      <c r="B308" s="67"/>
    </row>
    <row r="309" ht="13.5" customHeight="1">
      <c r="B309" s="67"/>
    </row>
    <row r="310" ht="13.5" customHeight="1">
      <c r="B310" s="67"/>
    </row>
    <row r="311" ht="13.5" customHeight="1">
      <c r="B311" s="67"/>
    </row>
    <row r="312" ht="13.5" customHeight="1">
      <c r="B312" s="67"/>
    </row>
    <row r="313" ht="13.5" customHeight="1">
      <c r="B313" s="67"/>
    </row>
    <row r="314" ht="13.5" customHeight="1">
      <c r="B314" s="67"/>
    </row>
    <row r="315" ht="13.5" customHeight="1">
      <c r="B315" s="67"/>
    </row>
    <row r="316" ht="13.5" customHeight="1">
      <c r="B316" s="67"/>
    </row>
    <row r="317" ht="13.5" customHeight="1">
      <c r="B317" s="67"/>
    </row>
    <row r="318" ht="13.5" customHeight="1">
      <c r="B318" s="67"/>
    </row>
    <row r="319" ht="13.5" customHeight="1">
      <c r="B319" s="67"/>
    </row>
    <row r="320" ht="13.5" customHeight="1">
      <c r="B320" s="67"/>
    </row>
    <row r="321" ht="13.5" customHeight="1">
      <c r="B321" s="67"/>
    </row>
    <row r="322" ht="13.5" customHeight="1">
      <c r="B322" s="67"/>
    </row>
    <row r="323" ht="13.5" customHeight="1">
      <c r="B323" s="67"/>
    </row>
    <row r="324" ht="13.5" customHeight="1">
      <c r="B324" s="67"/>
    </row>
    <row r="325" ht="13.5" customHeight="1">
      <c r="B325" s="67"/>
    </row>
    <row r="326" ht="13.5" customHeight="1">
      <c r="B326" s="67"/>
    </row>
    <row r="327" ht="13.5" customHeight="1">
      <c r="B327" s="67"/>
    </row>
    <row r="328" ht="13.5" customHeight="1">
      <c r="B328" s="67"/>
    </row>
    <row r="329" ht="13.5" customHeight="1">
      <c r="B329" s="67"/>
    </row>
    <row r="330" ht="13.5" customHeight="1">
      <c r="B330" s="67"/>
    </row>
    <row r="331" ht="13.5" customHeight="1">
      <c r="B331" s="67"/>
    </row>
    <row r="332" ht="13.5" customHeight="1">
      <c r="B332" s="67"/>
    </row>
    <row r="333" ht="13.5" customHeight="1">
      <c r="B333" s="67"/>
    </row>
    <row r="334" ht="13.5" customHeight="1">
      <c r="B334" s="67"/>
    </row>
    <row r="335" ht="13.5" customHeight="1">
      <c r="B335" s="67"/>
    </row>
    <row r="336" ht="13.5" customHeight="1">
      <c r="B336" s="67"/>
    </row>
    <row r="337" ht="13.5" customHeight="1">
      <c r="B337" s="67"/>
    </row>
    <row r="338" ht="13.5" customHeight="1">
      <c r="B338" s="67"/>
    </row>
    <row r="339" ht="13.5" customHeight="1">
      <c r="B339" s="67"/>
    </row>
    <row r="340" ht="13.5" customHeight="1">
      <c r="B340" s="67"/>
    </row>
    <row r="341" ht="13.5" customHeight="1">
      <c r="B341" s="67"/>
    </row>
    <row r="342" ht="13.5" customHeight="1">
      <c r="B342" s="67"/>
    </row>
    <row r="343" ht="13.5" customHeight="1">
      <c r="B343" s="67"/>
    </row>
    <row r="344" ht="13.5" customHeight="1">
      <c r="B344" s="67"/>
    </row>
    <row r="345" ht="13.5" customHeight="1">
      <c r="B345" s="67"/>
    </row>
    <row r="346" ht="13.5" customHeight="1">
      <c r="B346" s="67"/>
    </row>
    <row r="347" ht="13.5" customHeight="1">
      <c r="B347" s="67"/>
    </row>
    <row r="348" ht="13.5" customHeight="1">
      <c r="B348" s="67"/>
    </row>
    <row r="349" ht="13.5" customHeight="1">
      <c r="B349" s="67"/>
    </row>
    <row r="350" ht="13.5" customHeight="1">
      <c r="B350" s="67"/>
    </row>
    <row r="351" ht="13.5" customHeight="1">
      <c r="B351" s="67"/>
    </row>
    <row r="352" ht="13.5" customHeight="1">
      <c r="B352" s="67"/>
    </row>
    <row r="353" ht="13.5" customHeight="1">
      <c r="B353" s="67"/>
    </row>
    <row r="354" ht="13.5" customHeight="1">
      <c r="B354" s="67"/>
    </row>
    <row r="355" ht="13.5" customHeight="1">
      <c r="B355" s="67"/>
    </row>
    <row r="356" ht="13.5" customHeight="1">
      <c r="B356" s="67"/>
    </row>
    <row r="357" ht="13.5" customHeight="1">
      <c r="B357" s="67"/>
    </row>
    <row r="358" ht="13.5" customHeight="1">
      <c r="B358" s="67"/>
    </row>
    <row r="359" ht="13.5" customHeight="1">
      <c r="B359" s="67"/>
    </row>
    <row r="360" ht="13.5" customHeight="1">
      <c r="B360" s="67"/>
    </row>
    <row r="361" ht="13.5" customHeight="1">
      <c r="B361" s="67"/>
    </row>
    <row r="362" ht="13.5" customHeight="1">
      <c r="B362" s="67"/>
    </row>
    <row r="363" ht="13.5" customHeight="1">
      <c r="B363" s="67"/>
    </row>
    <row r="364" ht="13.5" customHeight="1">
      <c r="B364" s="67"/>
    </row>
    <row r="365" ht="13.5" customHeight="1">
      <c r="B365" s="67"/>
    </row>
    <row r="366" ht="13.5" customHeight="1">
      <c r="B366" s="67"/>
    </row>
    <row r="367" ht="13.5" customHeight="1">
      <c r="B367" s="67"/>
    </row>
    <row r="368" ht="13.5" customHeight="1">
      <c r="B368" s="67"/>
    </row>
    <row r="369" ht="13.5" customHeight="1">
      <c r="B369" s="67"/>
    </row>
    <row r="370" ht="13.5" customHeight="1">
      <c r="B370" s="67"/>
    </row>
    <row r="371" ht="13.5" customHeight="1">
      <c r="B371" s="67"/>
    </row>
    <row r="372" ht="13.5" customHeight="1">
      <c r="B372" s="67"/>
    </row>
    <row r="373" ht="13.5" customHeight="1">
      <c r="B373" s="67"/>
    </row>
    <row r="374" ht="13.5" customHeight="1">
      <c r="B374" s="67"/>
    </row>
    <row r="375" ht="13.5" customHeight="1">
      <c r="B375" s="67"/>
    </row>
    <row r="376" ht="13.5" customHeight="1">
      <c r="B376" s="67"/>
    </row>
    <row r="377" ht="13.5" customHeight="1">
      <c r="B377" s="67"/>
    </row>
    <row r="378" ht="13.5" customHeight="1">
      <c r="B378" s="67"/>
    </row>
    <row r="379" ht="13.5" customHeight="1">
      <c r="B379" s="67"/>
    </row>
    <row r="380" ht="13.5" customHeight="1">
      <c r="B380" s="67"/>
    </row>
    <row r="381" ht="13.5" customHeight="1">
      <c r="B381" s="67"/>
    </row>
    <row r="382" ht="13.5" customHeight="1">
      <c r="B382" s="67"/>
    </row>
    <row r="383" ht="13.5" customHeight="1">
      <c r="B383" s="67"/>
    </row>
    <row r="384" ht="13.5" customHeight="1">
      <c r="B384" s="67"/>
    </row>
    <row r="385" ht="13.5" customHeight="1">
      <c r="B385" s="67"/>
    </row>
    <row r="386" ht="13.5" customHeight="1">
      <c r="B386" s="67"/>
    </row>
    <row r="387" ht="13.5" customHeight="1">
      <c r="B387" s="67"/>
    </row>
    <row r="388" ht="13.5" customHeight="1">
      <c r="B388" s="67"/>
    </row>
    <row r="389" ht="13.5" customHeight="1">
      <c r="B389" s="67"/>
    </row>
    <row r="390" ht="13.5" customHeight="1">
      <c r="B390" s="67"/>
    </row>
    <row r="391" ht="13.5" customHeight="1">
      <c r="B391" s="67"/>
    </row>
    <row r="392" ht="13.5" customHeight="1">
      <c r="B392" s="67"/>
    </row>
    <row r="393" ht="13.5" customHeight="1">
      <c r="B393" s="67"/>
    </row>
    <row r="394" ht="13.5" customHeight="1">
      <c r="B394" s="67"/>
    </row>
    <row r="395" ht="13.5" customHeight="1">
      <c r="B395" s="67"/>
    </row>
    <row r="396" ht="13.5" customHeight="1">
      <c r="B396" s="67"/>
    </row>
    <row r="397" ht="13.5" customHeight="1">
      <c r="B397" s="67"/>
    </row>
    <row r="398" ht="13.5" customHeight="1">
      <c r="B398" s="67"/>
    </row>
    <row r="399" ht="13.5" customHeight="1">
      <c r="B399" s="67"/>
    </row>
    <row r="400" ht="13.5" customHeight="1">
      <c r="B400" s="67"/>
    </row>
    <row r="401" ht="13.5" customHeight="1">
      <c r="B401" s="67"/>
    </row>
    <row r="402" ht="13.5" customHeight="1">
      <c r="B402" s="67"/>
    </row>
    <row r="403" ht="13.5" customHeight="1">
      <c r="B403" s="67"/>
    </row>
    <row r="404" ht="13.5" customHeight="1">
      <c r="B404" s="67"/>
    </row>
    <row r="405" ht="13.5" customHeight="1">
      <c r="B405" s="67"/>
    </row>
    <row r="406" ht="13.5" customHeight="1">
      <c r="B406" s="67"/>
    </row>
    <row r="407" ht="13.5" customHeight="1">
      <c r="B407" s="67"/>
    </row>
    <row r="408" ht="13.5" customHeight="1">
      <c r="B408" s="67"/>
    </row>
    <row r="409" ht="13.5" customHeight="1">
      <c r="B409" s="67"/>
    </row>
    <row r="410" ht="13.5" customHeight="1">
      <c r="B410" s="67"/>
    </row>
    <row r="411" ht="13.5" customHeight="1">
      <c r="B411" s="67"/>
    </row>
    <row r="412" ht="13.5" customHeight="1">
      <c r="B412" s="67"/>
    </row>
    <row r="413" ht="13.5" customHeight="1">
      <c r="B413" s="67"/>
    </row>
    <row r="414" ht="13.5" customHeight="1">
      <c r="B414" s="67"/>
    </row>
    <row r="415" ht="13.5" customHeight="1">
      <c r="B415" s="67"/>
    </row>
    <row r="416" ht="13.5" customHeight="1">
      <c r="B416" s="67"/>
    </row>
    <row r="417" ht="13.5" customHeight="1">
      <c r="B417" s="67"/>
    </row>
    <row r="418" ht="13.5" customHeight="1">
      <c r="B418" s="67"/>
    </row>
    <row r="419" ht="13.5" customHeight="1">
      <c r="B419" s="67"/>
    </row>
    <row r="420" ht="13.5" customHeight="1">
      <c r="B420" s="67"/>
    </row>
    <row r="421" ht="13.5" customHeight="1">
      <c r="B421" s="67"/>
    </row>
    <row r="422" ht="13.5" customHeight="1">
      <c r="B422" s="67"/>
    </row>
    <row r="423" ht="13.5" customHeight="1">
      <c r="B423" s="67"/>
    </row>
    <row r="424" ht="13.5" customHeight="1">
      <c r="B424" s="67"/>
    </row>
    <row r="425" ht="13.5" customHeight="1">
      <c r="B425" s="67"/>
    </row>
    <row r="426" ht="13.5" customHeight="1">
      <c r="B426" s="67"/>
    </row>
    <row r="427" ht="13.5" customHeight="1">
      <c r="B427" s="67"/>
    </row>
    <row r="428" ht="13.5" customHeight="1">
      <c r="B428" s="67"/>
    </row>
    <row r="429" ht="13.5" customHeight="1">
      <c r="B429" s="67"/>
    </row>
    <row r="430" ht="13.5" customHeight="1">
      <c r="B430" s="67"/>
    </row>
    <row r="431" ht="13.5" customHeight="1">
      <c r="B431" s="67"/>
    </row>
    <row r="432" ht="13.5" customHeight="1">
      <c r="B432" s="67"/>
    </row>
    <row r="433" ht="13.5" customHeight="1">
      <c r="B433" s="67"/>
    </row>
    <row r="434" ht="13.5" customHeight="1">
      <c r="B434" s="67"/>
    </row>
    <row r="435" ht="13.5" customHeight="1">
      <c r="B435" s="67"/>
    </row>
    <row r="436" ht="13.5" customHeight="1">
      <c r="B436" s="67"/>
    </row>
    <row r="437" ht="13.5" customHeight="1">
      <c r="B437" s="67"/>
    </row>
    <row r="438" ht="13.5" customHeight="1">
      <c r="B438" s="67"/>
    </row>
    <row r="439" ht="13.5" customHeight="1">
      <c r="B439" s="67"/>
    </row>
    <row r="440" ht="13.5" customHeight="1">
      <c r="B440" s="67"/>
    </row>
    <row r="441" ht="13.5" customHeight="1">
      <c r="B441" s="67"/>
    </row>
    <row r="442" ht="13.5" customHeight="1">
      <c r="B442" s="67"/>
    </row>
    <row r="443" ht="13.5" customHeight="1">
      <c r="B443" s="67"/>
    </row>
    <row r="444" ht="13.5" customHeight="1">
      <c r="B444" s="67"/>
    </row>
    <row r="445" ht="13.5" customHeight="1">
      <c r="B445" s="67"/>
    </row>
    <row r="446" ht="13.5" customHeight="1">
      <c r="B446" s="67"/>
    </row>
    <row r="447" ht="13.5" customHeight="1">
      <c r="B447" s="67"/>
    </row>
    <row r="448" ht="13.5" customHeight="1">
      <c r="B448" s="67"/>
    </row>
    <row r="449" ht="13.5" customHeight="1">
      <c r="B449" s="67"/>
    </row>
    <row r="450" ht="13.5" customHeight="1">
      <c r="B450" s="67"/>
    </row>
    <row r="451" ht="13.5" customHeight="1">
      <c r="B451" s="67"/>
    </row>
    <row r="452" ht="13.5" customHeight="1">
      <c r="B452" s="67"/>
    </row>
    <row r="453" ht="13.5" customHeight="1">
      <c r="B453" s="67"/>
    </row>
    <row r="454" ht="13.5" customHeight="1">
      <c r="B454" s="67"/>
    </row>
    <row r="455" ht="13.5" customHeight="1">
      <c r="B455" s="67"/>
    </row>
    <row r="456" ht="13.5" customHeight="1">
      <c r="B456" s="67"/>
    </row>
    <row r="457" ht="13.5" customHeight="1">
      <c r="B457" s="67"/>
    </row>
    <row r="458" ht="13.5" customHeight="1">
      <c r="B458" s="67"/>
    </row>
    <row r="459" ht="13.5" customHeight="1">
      <c r="B459" s="67"/>
    </row>
    <row r="460" ht="13.5" customHeight="1">
      <c r="B460" s="67"/>
    </row>
    <row r="461" ht="13.5" customHeight="1">
      <c r="B461" s="67"/>
    </row>
    <row r="462" ht="13.5" customHeight="1">
      <c r="B462" s="67"/>
    </row>
    <row r="463" ht="13.5" customHeight="1">
      <c r="B463" s="67"/>
    </row>
    <row r="464" ht="13.5" customHeight="1">
      <c r="B464" s="67"/>
    </row>
    <row r="465" ht="13.5" customHeight="1">
      <c r="B465" s="67"/>
    </row>
    <row r="466" ht="13.5" customHeight="1">
      <c r="B466" s="67"/>
    </row>
    <row r="467" ht="13.5" customHeight="1">
      <c r="B467" s="67"/>
    </row>
    <row r="468" ht="13.5" customHeight="1">
      <c r="B468" s="67"/>
    </row>
    <row r="469" ht="13.5" customHeight="1">
      <c r="B469" s="67"/>
    </row>
    <row r="470" ht="13.5" customHeight="1">
      <c r="B470" s="67"/>
    </row>
    <row r="471" ht="13.5" customHeight="1">
      <c r="B471" s="67"/>
    </row>
    <row r="472" ht="13.5" customHeight="1">
      <c r="B472" s="67"/>
    </row>
    <row r="473" ht="13.5" customHeight="1">
      <c r="B473" s="67"/>
    </row>
    <row r="474" ht="13.5" customHeight="1">
      <c r="B474" s="67"/>
    </row>
    <row r="475" ht="13.5" customHeight="1">
      <c r="B475" s="67"/>
    </row>
    <row r="476" ht="13.5" customHeight="1">
      <c r="B476" s="67"/>
    </row>
    <row r="477" ht="13.5" customHeight="1">
      <c r="B477" s="67"/>
    </row>
    <row r="478" ht="13.5" customHeight="1">
      <c r="B478" s="67"/>
    </row>
    <row r="479" ht="13.5" customHeight="1">
      <c r="B479" s="67"/>
    </row>
    <row r="480" ht="13.5" customHeight="1">
      <c r="B480" s="67"/>
    </row>
    <row r="481" ht="13.5" customHeight="1">
      <c r="B481" s="67"/>
    </row>
    <row r="482" ht="13.5" customHeight="1">
      <c r="B482" s="67"/>
    </row>
    <row r="483" ht="13.5" customHeight="1">
      <c r="B483" s="67"/>
    </row>
    <row r="484" ht="13.5" customHeight="1">
      <c r="B484" s="67"/>
    </row>
    <row r="485" ht="13.5" customHeight="1">
      <c r="B485" s="67"/>
    </row>
    <row r="486" ht="13.5" customHeight="1">
      <c r="B486" s="67"/>
    </row>
    <row r="487" ht="13.5" customHeight="1">
      <c r="B487" s="67"/>
    </row>
    <row r="488" ht="13.5" customHeight="1">
      <c r="B488" s="67"/>
    </row>
    <row r="489" ht="13.5" customHeight="1">
      <c r="B489" s="67"/>
    </row>
    <row r="490" ht="13.5" customHeight="1">
      <c r="B490" s="67"/>
    </row>
    <row r="491" ht="13.5" customHeight="1">
      <c r="B491" s="67"/>
    </row>
    <row r="492" ht="13.5" customHeight="1">
      <c r="B492" s="67"/>
    </row>
    <row r="493" ht="13.5" customHeight="1">
      <c r="B493" s="67"/>
    </row>
    <row r="494" ht="13.5" customHeight="1">
      <c r="B494" s="67"/>
    </row>
    <row r="495" ht="13.5" customHeight="1">
      <c r="B495" s="67"/>
    </row>
    <row r="496" ht="13.5" customHeight="1">
      <c r="B496" s="67"/>
    </row>
    <row r="497" ht="13.5" customHeight="1">
      <c r="B497" s="67"/>
    </row>
    <row r="498" ht="13.5" customHeight="1">
      <c r="B498" s="67"/>
    </row>
    <row r="499" ht="13.5" customHeight="1">
      <c r="B499" s="67"/>
    </row>
    <row r="500" ht="13.5" customHeight="1">
      <c r="B500" s="67"/>
    </row>
    <row r="501" ht="13.5" customHeight="1">
      <c r="B501" s="67"/>
    </row>
    <row r="502" ht="13.5" customHeight="1">
      <c r="B502" s="67"/>
    </row>
    <row r="503" ht="13.5" customHeight="1">
      <c r="B503" s="67"/>
    </row>
    <row r="504" ht="13.5" customHeight="1">
      <c r="B504" s="67"/>
    </row>
    <row r="505" ht="13.5" customHeight="1">
      <c r="B505" s="67"/>
    </row>
    <row r="506" ht="13.5" customHeight="1">
      <c r="B506" s="67"/>
    </row>
    <row r="507" ht="13.5" customHeight="1">
      <c r="B507" s="67"/>
    </row>
    <row r="508" ht="13.5" customHeight="1">
      <c r="B508" s="67"/>
    </row>
    <row r="509" ht="13.5" customHeight="1">
      <c r="B509" s="67"/>
    </row>
    <row r="510" ht="13.5" customHeight="1">
      <c r="B510" s="67"/>
    </row>
    <row r="511" ht="13.5" customHeight="1">
      <c r="B511" s="67"/>
    </row>
    <row r="512" ht="13.5" customHeight="1">
      <c r="B512" s="67"/>
    </row>
    <row r="513" ht="13.5" customHeight="1">
      <c r="B513" s="67"/>
    </row>
    <row r="514" ht="13.5" customHeight="1">
      <c r="B514" s="67"/>
    </row>
    <row r="515" ht="13.5" customHeight="1">
      <c r="B515" s="67"/>
    </row>
    <row r="516" ht="13.5" customHeight="1">
      <c r="B516" s="67"/>
    </row>
    <row r="517" ht="13.5" customHeight="1">
      <c r="B517" s="67"/>
    </row>
    <row r="518" ht="13.5" customHeight="1">
      <c r="B518" s="67"/>
    </row>
    <row r="519" ht="13.5" customHeight="1">
      <c r="B519" s="67"/>
    </row>
    <row r="520" ht="13.5" customHeight="1">
      <c r="B520" s="67"/>
    </row>
    <row r="521" ht="13.5" customHeight="1">
      <c r="B521" s="67"/>
    </row>
    <row r="522" ht="13.5" customHeight="1">
      <c r="B522" s="67"/>
    </row>
    <row r="523" ht="13.5" customHeight="1">
      <c r="B523" s="67"/>
    </row>
    <row r="524" ht="13.5" customHeight="1">
      <c r="B524" s="67"/>
    </row>
    <row r="525" ht="13.5" customHeight="1">
      <c r="B525" s="67"/>
    </row>
    <row r="526" ht="13.5" customHeight="1">
      <c r="B526" s="67"/>
    </row>
    <row r="527" ht="13.5" customHeight="1">
      <c r="B527" s="67"/>
    </row>
    <row r="528" ht="13.5" customHeight="1">
      <c r="B528" s="67"/>
    </row>
    <row r="529" ht="13.5" customHeight="1">
      <c r="B529" s="67"/>
    </row>
    <row r="530" ht="13.5" customHeight="1">
      <c r="B530" s="67"/>
    </row>
    <row r="531" ht="13.5" customHeight="1">
      <c r="B531" s="67"/>
    </row>
    <row r="532" ht="13.5" customHeight="1">
      <c r="B532" s="67"/>
    </row>
    <row r="533" ht="13.5" customHeight="1">
      <c r="B533" s="67"/>
    </row>
    <row r="534" ht="13.5" customHeight="1">
      <c r="B534" s="67"/>
    </row>
    <row r="535" ht="13.5" customHeight="1">
      <c r="B535" s="67"/>
    </row>
    <row r="536" ht="13.5" customHeight="1">
      <c r="B536" s="67"/>
    </row>
    <row r="537" ht="13.5" customHeight="1">
      <c r="B537" s="67"/>
    </row>
    <row r="538" ht="13.5" customHeight="1">
      <c r="B538" s="67"/>
    </row>
    <row r="539" ht="13.5" customHeight="1">
      <c r="B539" s="67"/>
    </row>
    <row r="540" ht="13.5" customHeight="1">
      <c r="B540" s="67"/>
    </row>
    <row r="541" ht="13.5" customHeight="1">
      <c r="B541" s="67"/>
    </row>
    <row r="542" ht="13.5" customHeight="1">
      <c r="B542" s="67"/>
    </row>
    <row r="543" ht="13.5" customHeight="1">
      <c r="B543" s="67"/>
    </row>
    <row r="544" ht="13.5" customHeight="1">
      <c r="B544" s="67"/>
    </row>
    <row r="545" ht="13.5" customHeight="1">
      <c r="B545" s="67"/>
    </row>
    <row r="546" ht="13.5" customHeight="1">
      <c r="B546" s="67"/>
    </row>
    <row r="547" ht="13.5" customHeight="1">
      <c r="B547" s="67"/>
    </row>
    <row r="548" ht="13.5" customHeight="1">
      <c r="B548" s="67"/>
    </row>
    <row r="549" ht="13.5" customHeight="1">
      <c r="B549" s="67"/>
    </row>
    <row r="550" ht="13.5" customHeight="1">
      <c r="B550" s="67"/>
    </row>
    <row r="551" ht="13.5" customHeight="1">
      <c r="B551" s="67"/>
    </row>
    <row r="552" ht="13.5" customHeight="1">
      <c r="B552" s="67"/>
    </row>
    <row r="553" ht="13.5" customHeight="1">
      <c r="B553" s="67"/>
    </row>
    <row r="554" ht="13.5" customHeight="1">
      <c r="B554" s="67"/>
    </row>
    <row r="555" ht="13.5" customHeight="1">
      <c r="B555" s="67"/>
    </row>
    <row r="556" ht="13.5" customHeight="1">
      <c r="B556" s="67"/>
    </row>
    <row r="557" ht="13.5" customHeight="1">
      <c r="B557" s="67"/>
    </row>
    <row r="558" ht="13.5" customHeight="1">
      <c r="B558" s="67"/>
    </row>
    <row r="559" ht="13.5" customHeight="1">
      <c r="B559" s="67"/>
    </row>
    <row r="560" ht="13.5" customHeight="1">
      <c r="B560" s="67"/>
    </row>
    <row r="561" ht="13.5" customHeight="1">
      <c r="B561" s="67"/>
    </row>
    <row r="562" ht="13.5" customHeight="1">
      <c r="B562" s="67"/>
    </row>
    <row r="563" ht="13.5" customHeight="1">
      <c r="B563" s="67"/>
    </row>
    <row r="564" ht="13.5" customHeight="1">
      <c r="B564" s="67"/>
    </row>
    <row r="565" ht="13.5" customHeight="1">
      <c r="B565" s="67"/>
    </row>
    <row r="566" ht="13.5" customHeight="1">
      <c r="B566" s="67"/>
    </row>
    <row r="567" ht="13.5" customHeight="1">
      <c r="B567" s="67"/>
    </row>
    <row r="568" ht="13.5" customHeight="1">
      <c r="B568" s="67"/>
    </row>
    <row r="569" ht="13.5" customHeight="1">
      <c r="B569" s="67"/>
    </row>
    <row r="570" ht="13.5" customHeight="1">
      <c r="B570" s="67"/>
    </row>
    <row r="571" ht="13.5" customHeight="1">
      <c r="B571" s="67"/>
    </row>
    <row r="572" ht="13.5" customHeight="1">
      <c r="B572" s="67"/>
    </row>
    <row r="573" ht="13.5" customHeight="1">
      <c r="B573" s="67"/>
    </row>
    <row r="574" ht="13.5" customHeight="1">
      <c r="B574" s="67"/>
    </row>
    <row r="575" ht="13.5" customHeight="1">
      <c r="B575" s="67"/>
    </row>
    <row r="576" ht="13.5" customHeight="1">
      <c r="B576" s="67"/>
    </row>
    <row r="577" ht="13.5" customHeight="1">
      <c r="B577" s="67"/>
    </row>
    <row r="578" ht="13.5" customHeight="1">
      <c r="B578" s="67"/>
    </row>
    <row r="579" ht="13.5" customHeight="1">
      <c r="B579" s="67"/>
    </row>
    <row r="580" ht="13.5" customHeight="1">
      <c r="B580" s="67"/>
    </row>
    <row r="581" ht="13.5" customHeight="1">
      <c r="B581" s="67"/>
    </row>
    <row r="582" ht="13.5" customHeight="1">
      <c r="B582" s="67"/>
    </row>
    <row r="583" ht="13.5" customHeight="1">
      <c r="B583" s="67"/>
    </row>
    <row r="584" ht="13.5" customHeight="1">
      <c r="B584" s="67"/>
    </row>
    <row r="585" ht="13.5" customHeight="1">
      <c r="B585" s="67"/>
    </row>
    <row r="586" ht="13.5" customHeight="1">
      <c r="B586" s="67"/>
    </row>
    <row r="587" ht="13.5" customHeight="1">
      <c r="B587" s="67"/>
    </row>
    <row r="588" ht="13.5" customHeight="1">
      <c r="B588" s="67"/>
    </row>
    <row r="589" ht="13.5" customHeight="1">
      <c r="B589" s="67"/>
    </row>
    <row r="590" ht="13.5" customHeight="1">
      <c r="B590" s="67"/>
    </row>
    <row r="591" ht="13.5" customHeight="1">
      <c r="B591" s="67"/>
    </row>
    <row r="592" ht="13.5" customHeight="1">
      <c r="B592" s="67"/>
    </row>
    <row r="593" ht="13.5" customHeight="1">
      <c r="B593" s="67"/>
    </row>
    <row r="594" ht="13.5" customHeight="1">
      <c r="B594" s="67"/>
    </row>
    <row r="595" ht="13.5" customHeight="1">
      <c r="B595" s="67"/>
    </row>
    <row r="596" ht="13.5" customHeight="1">
      <c r="B596" s="67"/>
    </row>
    <row r="597" ht="13.5" customHeight="1">
      <c r="B597" s="67"/>
    </row>
    <row r="598" ht="13.5" customHeight="1">
      <c r="B598" s="67"/>
    </row>
    <row r="599" ht="13.5" customHeight="1">
      <c r="B599" s="67"/>
    </row>
    <row r="600" ht="13.5" customHeight="1">
      <c r="B600" s="67"/>
    </row>
    <row r="601" ht="13.5" customHeight="1">
      <c r="B601" s="67"/>
    </row>
    <row r="602" ht="13.5" customHeight="1">
      <c r="B602" s="67"/>
    </row>
    <row r="603" ht="13.5" customHeight="1">
      <c r="B603" s="67"/>
    </row>
    <row r="604" ht="13.5" customHeight="1">
      <c r="B604" s="67"/>
    </row>
    <row r="605" ht="13.5" customHeight="1">
      <c r="B605" s="67"/>
    </row>
    <row r="606" ht="13.5" customHeight="1">
      <c r="B606" s="67"/>
    </row>
    <row r="607" ht="13.5" customHeight="1">
      <c r="B607" s="67"/>
    </row>
    <row r="608" ht="13.5" customHeight="1">
      <c r="B608" s="67"/>
    </row>
    <row r="609" ht="13.5" customHeight="1">
      <c r="B609" s="67"/>
    </row>
    <row r="610" ht="13.5" customHeight="1">
      <c r="B610" s="67"/>
    </row>
    <row r="611" ht="13.5" customHeight="1">
      <c r="B611" s="67"/>
    </row>
    <row r="612" ht="13.5" customHeight="1">
      <c r="B612" s="67"/>
    </row>
    <row r="613" ht="13.5" customHeight="1">
      <c r="B613" s="67"/>
    </row>
    <row r="614" ht="13.5" customHeight="1">
      <c r="B614" s="67"/>
    </row>
    <row r="615" ht="13.5" customHeight="1">
      <c r="B615" s="67"/>
    </row>
    <row r="616" ht="13.5" customHeight="1">
      <c r="B616" s="67"/>
    </row>
    <row r="617" ht="13.5" customHeight="1">
      <c r="B617" s="67"/>
    </row>
    <row r="618" ht="13.5" customHeight="1">
      <c r="B618" s="67"/>
    </row>
    <row r="619" ht="13.5" customHeight="1">
      <c r="B619" s="67"/>
    </row>
    <row r="620" ht="13.5" customHeight="1">
      <c r="B620" s="67"/>
    </row>
    <row r="621" ht="13.5" customHeight="1">
      <c r="B621" s="67"/>
    </row>
    <row r="622" ht="13.5" customHeight="1">
      <c r="B622" s="67"/>
    </row>
    <row r="623" ht="13.5" customHeight="1">
      <c r="B623" s="67"/>
    </row>
    <row r="624" ht="13.5" customHeight="1">
      <c r="B624" s="67"/>
    </row>
    <row r="625" ht="13.5" customHeight="1">
      <c r="B625" s="67"/>
    </row>
    <row r="626" ht="13.5" customHeight="1">
      <c r="B626" s="67"/>
    </row>
    <row r="627" ht="13.5" customHeight="1">
      <c r="B627" s="67"/>
    </row>
    <row r="628" ht="13.5" customHeight="1">
      <c r="B628" s="67"/>
    </row>
    <row r="629" ht="13.5" customHeight="1">
      <c r="B629" s="67"/>
    </row>
    <row r="630" ht="13.5" customHeight="1">
      <c r="B630" s="67"/>
    </row>
    <row r="631" ht="13.5" customHeight="1">
      <c r="B631" s="67"/>
    </row>
    <row r="632" ht="13.5" customHeight="1">
      <c r="B632" s="67"/>
    </row>
    <row r="633" ht="13.5" customHeight="1">
      <c r="B633" s="67"/>
    </row>
    <row r="634" ht="13.5" customHeight="1">
      <c r="B634" s="67"/>
    </row>
    <row r="635" ht="13.5" customHeight="1">
      <c r="B635" s="67"/>
    </row>
    <row r="636" ht="13.5" customHeight="1">
      <c r="B636" s="67"/>
    </row>
    <row r="637" ht="13.5" customHeight="1">
      <c r="B637" s="67"/>
    </row>
    <row r="638" ht="13.5" customHeight="1">
      <c r="B638" s="67"/>
    </row>
    <row r="639" ht="13.5" customHeight="1">
      <c r="B639" s="67"/>
    </row>
    <row r="640" ht="13.5" customHeight="1">
      <c r="B640" s="67"/>
    </row>
    <row r="641" ht="13.5" customHeight="1">
      <c r="B641" s="67"/>
    </row>
    <row r="642" ht="13.5" customHeight="1">
      <c r="B642" s="67"/>
    </row>
    <row r="643" ht="13.5" customHeight="1">
      <c r="B643" s="67"/>
    </row>
    <row r="644" ht="13.5" customHeight="1">
      <c r="B644" s="67"/>
    </row>
    <row r="645" ht="13.5" customHeight="1">
      <c r="B645" s="67"/>
    </row>
    <row r="646" ht="13.5" customHeight="1">
      <c r="B646" s="67"/>
    </row>
    <row r="647" ht="13.5" customHeight="1">
      <c r="B647" s="67"/>
    </row>
    <row r="648" ht="13.5" customHeight="1">
      <c r="B648" s="67"/>
    </row>
    <row r="649" ht="13.5" customHeight="1">
      <c r="B649" s="67"/>
    </row>
    <row r="650" ht="13.5" customHeight="1">
      <c r="B650" s="67"/>
    </row>
    <row r="651" ht="13.5" customHeight="1">
      <c r="B651" s="67"/>
    </row>
    <row r="652" ht="13.5" customHeight="1">
      <c r="B652" s="67"/>
    </row>
    <row r="653" ht="13.5" customHeight="1">
      <c r="B653" s="67"/>
    </row>
    <row r="654" ht="13.5" customHeight="1">
      <c r="B654" s="67"/>
    </row>
    <row r="655" ht="13.5" customHeight="1">
      <c r="B655" s="67"/>
    </row>
    <row r="656" ht="13.5" customHeight="1">
      <c r="B656" s="67"/>
    </row>
    <row r="657" ht="13.5" customHeight="1">
      <c r="B657" s="67"/>
    </row>
    <row r="658" ht="13.5" customHeight="1">
      <c r="B658" s="67"/>
    </row>
    <row r="659" ht="13.5" customHeight="1">
      <c r="B659" s="67"/>
    </row>
    <row r="660" ht="13.5" customHeight="1">
      <c r="B660" s="67"/>
    </row>
    <row r="661" ht="13.5" customHeight="1">
      <c r="B661" s="67"/>
    </row>
    <row r="662" ht="13.5" customHeight="1">
      <c r="B662" s="67"/>
    </row>
    <row r="663" ht="13.5" customHeight="1">
      <c r="B663" s="67"/>
    </row>
    <row r="664" ht="13.5" customHeight="1">
      <c r="B664" s="67"/>
    </row>
    <row r="665" ht="13.5" customHeight="1">
      <c r="B665" s="67"/>
    </row>
    <row r="666" ht="13.5" customHeight="1">
      <c r="B666" s="67"/>
    </row>
    <row r="667" ht="13.5" customHeight="1">
      <c r="B667" s="67"/>
    </row>
    <row r="668" ht="13.5" customHeight="1">
      <c r="B668" s="67"/>
    </row>
    <row r="669" ht="13.5" customHeight="1">
      <c r="B669" s="67"/>
    </row>
    <row r="670" ht="13.5" customHeight="1">
      <c r="B670" s="67"/>
    </row>
    <row r="671" ht="13.5" customHeight="1">
      <c r="B671" s="67"/>
    </row>
    <row r="672" ht="13.5" customHeight="1">
      <c r="B672" s="67"/>
    </row>
    <row r="673" ht="13.5" customHeight="1">
      <c r="B673" s="67"/>
    </row>
    <row r="674" ht="13.5" customHeight="1">
      <c r="B674" s="67"/>
    </row>
    <row r="675" ht="13.5" customHeight="1">
      <c r="B675" s="67"/>
    </row>
    <row r="676" ht="13.5" customHeight="1">
      <c r="B676" s="67"/>
    </row>
    <row r="677" ht="13.5" customHeight="1">
      <c r="B677" s="67"/>
    </row>
    <row r="678" ht="13.5" customHeight="1">
      <c r="B678" s="67"/>
    </row>
    <row r="679" ht="13.5" customHeight="1">
      <c r="B679" s="67"/>
    </row>
    <row r="680" ht="13.5" customHeight="1">
      <c r="B680" s="67"/>
    </row>
    <row r="681" ht="13.5" customHeight="1">
      <c r="B681" s="67"/>
    </row>
    <row r="682" ht="13.5" customHeight="1">
      <c r="B682" s="67"/>
    </row>
    <row r="683" ht="13.5" customHeight="1">
      <c r="B683" s="67"/>
    </row>
    <row r="684" ht="13.5" customHeight="1">
      <c r="B684" s="67"/>
    </row>
    <row r="685" ht="13.5" customHeight="1">
      <c r="B685" s="67"/>
    </row>
    <row r="686" ht="13.5" customHeight="1">
      <c r="B686" s="67"/>
    </row>
    <row r="687" ht="13.5" customHeight="1">
      <c r="B687" s="67"/>
    </row>
    <row r="688" ht="13.5" customHeight="1">
      <c r="B688" s="67"/>
    </row>
    <row r="689" ht="13.5" customHeight="1">
      <c r="B689" s="67"/>
    </row>
    <row r="690" ht="13.5" customHeight="1">
      <c r="B690" s="67"/>
    </row>
    <row r="691" ht="13.5" customHeight="1">
      <c r="B691" s="67"/>
    </row>
    <row r="692" ht="13.5" customHeight="1">
      <c r="B692" s="67"/>
    </row>
    <row r="693" ht="13.5" customHeight="1">
      <c r="B693" s="67"/>
    </row>
    <row r="694" ht="13.5" customHeight="1">
      <c r="B694" s="67"/>
    </row>
    <row r="695" ht="13.5" customHeight="1">
      <c r="B695" s="67"/>
    </row>
    <row r="696" ht="13.5" customHeight="1">
      <c r="B696" s="67"/>
    </row>
    <row r="697" ht="13.5" customHeight="1">
      <c r="B697" s="67"/>
    </row>
    <row r="698" ht="13.5" customHeight="1">
      <c r="B698" s="67"/>
    </row>
    <row r="699" ht="13.5" customHeight="1">
      <c r="B699" s="67"/>
    </row>
    <row r="700" ht="13.5" customHeight="1">
      <c r="B700" s="67"/>
    </row>
    <row r="701" ht="13.5" customHeight="1">
      <c r="B701" s="67"/>
    </row>
    <row r="702" ht="13.5" customHeight="1">
      <c r="B702" s="67"/>
    </row>
    <row r="703" ht="13.5" customHeight="1">
      <c r="B703" s="67"/>
    </row>
    <row r="704" ht="13.5" customHeight="1">
      <c r="B704" s="67"/>
    </row>
    <row r="705" ht="13.5" customHeight="1">
      <c r="B705" s="67"/>
    </row>
    <row r="706" ht="13.5" customHeight="1">
      <c r="B706" s="67"/>
    </row>
    <row r="707" ht="13.5" customHeight="1">
      <c r="B707" s="67"/>
    </row>
    <row r="708" ht="13.5" customHeight="1">
      <c r="B708" s="67"/>
    </row>
    <row r="709" ht="13.5" customHeight="1">
      <c r="B709" s="67"/>
    </row>
    <row r="710" ht="13.5" customHeight="1">
      <c r="B710" s="67"/>
    </row>
    <row r="711" ht="13.5" customHeight="1">
      <c r="B711" s="67"/>
    </row>
    <row r="712" ht="13.5" customHeight="1">
      <c r="B712" s="67"/>
    </row>
    <row r="713" ht="13.5" customHeight="1">
      <c r="B713" s="67"/>
    </row>
    <row r="714" ht="13.5" customHeight="1">
      <c r="B714" s="67"/>
    </row>
    <row r="715" ht="13.5" customHeight="1">
      <c r="B715" s="67"/>
    </row>
    <row r="716" ht="13.5" customHeight="1">
      <c r="B716" s="67"/>
    </row>
    <row r="717" ht="13.5" customHeight="1">
      <c r="B717" s="67"/>
    </row>
    <row r="718" ht="13.5" customHeight="1">
      <c r="B718" s="67"/>
    </row>
    <row r="719" ht="13.5" customHeight="1">
      <c r="B719" s="67"/>
    </row>
    <row r="720" ht="13.5" customHeight="1">
      <c r="B720" s="67"/>
    </row>
    <row r="721" ht="13.5" customHeight="1">
      <c r="B721" s="67"/>
    </row>
    <row r="722" ht="13.5" customHeight="1">
      <c r="B722" s="67"/>
    </row>
    <row r="723" ht="13.5" customHeight="1">
      <c r="B723" s="67"/>
    </row>
    <row r="724" ht="13.5" customHeight="1">
      <c r="B724" s="67"/>
    </row>
    <row r="725" ht="13.5" customHeight="1">
      <c r="B725" s="67"/>
    </row>
    <row r="726" ht="13.5" customHeight="1">
      <c r="B726" s="67"/>
    </row>
    <row r="727" ht="13.5" customHeight="1">
      <c r="B727" s="67"/>
    </row>
    <row r="728" ht="13.5" customHeight="1">
      <c r="B728" s="67"/>
    </row>
    <row r="729" ht="13.5" customHeight="1">
      <c r="B729" s="67"/>
    </row>
    <row r="730" ht="13.5" customHeight="1">
      <c r="B730" s="67"/>
    </row>
    <row r="731" ht="13.5" customHeight="1">
      <c r="B731" s="67"/>
    </row>
    <row r="732" ht="13.5" customHeight="1">
      <c r="B732" s="67"/>
    </row>
    <row r="733" ht="13.5" customHeight="1">
      <c r="B733" s="67"/>
    </row>
    <row r="734" ht="13.5" customHeight="1">
      <c r="B734" s="67"/>
    </row>
    <row r="735" ht="13.5" customHeight="1">
      <c r="B735" s="67"/>
    </row>
    <row r="736" ht="13.5" customHeight="1">
      <c r="B736" s="67"/>
    </row>
    <row r="737" ht="13.5" customHeight="1">
      <c r="B737" s="67"/>
    </row>
    <row r="738" ht="13.5" customHeight="1">
      <c r="B738" s="67"/>
    </row>
    <row r="739" ht="13.5" customHeight="1">
      <c r="B739" s="67"/>
    </row>
    <row r="740" ht="13.5" customHeight="1">
      <c r="B740" s="67"/>
    </row>
    <row r="741" ht="13.5" customHeight="1">
      <c r="B741" s="67"/>
    </row>
    <row r="742" ht="13.5" customHeight="1">
      <c r="B742" s="67"/>
    </row>
    <row r="743" ht="13.5" customHeight="1">
      <c r="B743" s="67"/>
    </row>
    <row r="744" ht="13.5" customHeight="1">
      <c r="B744" s="67"/>
    </row>
    <row r="745" ht="13.5" customHeight="1">
      <c r="B745" s="67"/>
    </row>
    <row r="746" ht="13.5" customHeight="1">
      <c r="B746" s="67"/>
    </row>
    <row r="747" ht="13.5" customHeight="1">
      <c r="B747" s="67"/>
    </row>
    <row r="748" ht="13.5" customHeight="1">
      <c r="B748" s="67"/>
    </row>
    <row r="749" ht="13.5" customHeight="1">
      <c r="B749" s="67"/>
    </row>
    <row r="750" ht="13.5" customHeight="1">
      <c r="B750" s="67"/>
    </row>
    <row r="751" ht="13.5" customHeight="1">
      <c r="B751" s="67"/>
    </row>
    <row r="752" ht="13.5" customHeight="1">
      <c r="B752" s="67"/>
    </row>
    <row r="753" ht="13.5" customHeight="1">
      <c r="B753" s="67"/>
    </row>
    <row r="754" ht="13.5" customHeight="1">
      <c r="B754" s="67"/>
    </row>
    <row r="755" ht="13.5" customHeight="1">
      <c r="B755" s="67"/>
    </row>
    <row r="756" ht="13.5" customHeight="1">
      <c r="B756" s="67"/>
    </row>
    <row r="757" ht="13.5" customHeight="1">
      <c r="B757" s="67"/>
    </row>
    <row r="758" ht="13.5" customHeight="1">
      <c r="B758" s="67"/>
    </row>
    <row r="759" ht="13.5" customHeight="1">
      <c r="B759" s="67"/>
    </row>
    <row r="760" ht="13.5" customHeight="1">
      <c r="B760" s="67"/>
    </row>
    <row r="761" ht="13.5" customHeight="1">
      <c r="B761" s="67"/>
    </row>
    <row r="762" ht="13.5" customHeight="1">
      <c r="B762" s="67"/>
    </row>
    <row r="763" ht="13.5" customHeight="1">
      <c r="B763" s="67"/>
    </row>
    <row r="764" ht="13.5" customHeight="1">
      <c r="B764" s="67"/>
    </row>
    <row r="765" ht="13.5" customHeight="1">
      <c r="B765" s="67"/>
    </row>
    <row r="766" ht="13.5" customHeight="1">
      <c r="B766" s="67"/>
    </row>
    <row r="767" ht="13.5" customHeight="1">
      <c r="B767" s="67"/>
    </row>
    <row r="768" ht="13.5" customHeight="1">
      <c r="B768" s="67"/>
    </row>
    <row r="769" ht="13.5" customHeight="1">
      <c r="B769" s="67"/>
    </row>
    <row r="770" ht="13.5" customHeight="1">
      <c r="B770" s="67"/>
    </row>
    <row r="771" ht="13.5" customHeight="1">
      <c r="B771" s="67"/>
    </row>
    <row r="772" ht="13.5" customHeight="1">
      <c r="B772" s="67"/>
    </row>
    <row r="773" ht="13.5" customHeight="1">
      <c r="B773" s="67"/>
    </row>
    <row r="774" ht="13.5" customHeight="1">
      <c r="B774" s="67"/>
    </row>
    <row r="775" ht="13.5" customHeight="1">
      <c r="B775" s="67"/>
    </row>
    <row r="776" ht="13.5" customHeight="1">
      <c r="B776" s="67"/>
    </row>
    <row r="777" ht="13.5" customHeight="1">
      <c r="B777" s="67"/>
    </row>
    <row r="778" ht="13.5" customHeight="1">
      <c r="B778" s="67"/>
    </row>
    <row r="779" ht="13.5" customHeight="1">
      <c r="B779" s="67"/>
    </row>
    <row r="780" ht="13.5" customHeight="1">
      <c r="B780" s="67"/>
    </row>
    <row r="781" ht="13.5" customHeight="1">
      <c r="B781" s="67"/>
    </row>
    <row r="782" ht="13.5" customHeight="1">
      <c r="B782" s="67"/>
    </row>
    <row r="783" ht="13.5" customHeight="1">
      <c r="B783" s="67"/>
    </row>
    <row r="784" ht="13.5" customHeight="1">
      <c r="B784" s="67"/>
    </row>
    <row r="785" ht="13.5" customHeight="1">
      <c r="B785" s="67"/>
    </row>
    <row r="786" ht="13.5" customHeight="1">
      <c r="B786" s="67"/>
    </row>
    <row r="787" ht="13.5" customHeight="1">
      <c r="B787" s="67"/>
    </row>
    <row r="788" ht="13.5" customHeight="1">
      <c r="B788" s="67"/>
    </row>
    <row r="789" ht="13.5" customHeight="1">
      <c r="B789" s="67"/>
    </row>
    <row r="790" ht="13.5" customHeight="1">
      <c r="B790" s="67"/>
    </row>
    <row r="791" ht="13.5" customHeight="1">
      <c r="B791" s="67"/>
    </row>
    <row r="792" ht="13.5" customHeight="1">
      <c r="B792" s="67"/>
    </row>
    <row r="793" ht="13.5" customHeight="1">
      <c r="B793" s="67"/>
    </row>
    <row r="794" ht="13.5" customHeight="1">
      <c r="B794" s="67"/>
    </row>
    <row r="795" ht="13.5" customHeight="1">
      <c r="B795" s="67"/>
    </row>
    <row r="796" ht="13.5" customHeight="1">
      <c r="B796" s="67"/>
    </row>
    <row r="797" ht="13.5" customHeight="1">
      <c r="B797" s="67"/>
    </row>
    <row r="798" ht="13.5" customHeight="1">
      <c r="B798" s="67"/>
    </row>
    <row r="799" ht="13.5" customHeight="1">
      <c r="B799" s="67"/>
    </row>
    <row r="800" ht="13.5" customHeight="1">
      <c r="B800" s="67"/>
    </row>
    <row r="801" ht="13.5" customHeight="1">
      <c r="B801" s="67"/>
    </row>
    <row r="802" ht="13.5" customHeight="1">
      <c r="B802" s="67"/>
    </row>
    <row r="803" ht="13.5" customHeight="1">
      <c r="B803" s="67"/>
    </row>
    <row r="804" ht="13.5" customHeight="1">
      <c r="B804" s="67"/>
    </row>
    <row r="805" ht="13.5" customHeight="1">
      <c r="B805" s="67"/>
    </row>
    <row r="806" ht="13.5" customHeight="1">
      <c r="B806" s="67"/>
    </row>
    <row r="807" ht="13.5" customHeight="1">
      <c r="B807" s="67"/>
    </row>
    <row r="808" ht="13.5" customHeight="1">
      <c r="B808" s="67"/>
    </row>
    <row r="809" ht="13.5" customHeight="1">
      <c r="B809" s="67"/>
    </row>
    <row r="810" ht="13.5" customHeight="1">
      <c r="B810" s="67"/>
    </row>
    <row r="811" ht="13.5" customHeight="1">
      <c r="B811" s="67"/>
    </row>
    <row r="812" ht="13.5" customHeight="1">
      <c r="B812" s="67"/>
    </row>
    <row r="813" ht="13.5" customHeight="1">
      <c r="B813" s="67"/>
    </row>
    <row r="814" ht="13.5" customHeight="1">
      <c r="B814" s="67"/>
    </row>
    <row r="815" ht="13.5" customHeight="1">
      <c r="B815" s="67"/>
    </row>
    <row r="816" ht="13.5" customHeight="1">
      <c r="B816" s="67"/>
    </row>
    <row r="817" ht="13.5" customHeight="1">
      <c r="B817" s="67"/>
    </row>
    <row r="818" ht="13.5" customHeight="1">
      <c r="B818" s="67"/>
    </row>
    <row r="819" ht="13.5" customHeight="1">
      <c r="B819" s="67"/>
    </row>
    <row r="820" ht="13.5" customHeight="1">
      <c r="B820" s="67"/>
    </row>
    <row r="821" ht="13.5" customHeight="1">
      <c r="B821" s="67"/>
    </row>
    <row r="822" ht="13.5" customHeight="1">
      <c r="B822" s="67"/>
    </row>
    <row r="823" ht="13.5" customHeight="1">
      <c r="B823" s="67"/>
    </row>
    <row r="824" ht="13.5" customHeight="1">
      <c r="B824" s="67"/>
    </row>
    <row r="825" ht="13.5" customHeight="1">
      <c r="B825" s="67"/>
    </row>
    <row r="826" ht="13.5" customHeight="1">
      <c r="B826" s="67"/>
    </row>
    <row r="827" ht="13.5" customHeight="1">
      <c r="B827" s="67"/>
    </row>
    <row r="828" ht="13.5" customHeight="1">
      <c r="B828" s="67"/>
    </row>
    <row r="829" ht="13.5" customHeight="1">
      <c r="B829" s="67"/>
    </row>
    <row r="830" ht="13.5" customHeight="1">
      <c r="B830" s="67"/>
    </row>
    <row r="831" ht="13.5" customHeight="1">
      <c r="B831" s="67"/>
    </row>
    <row r="832" ht="13.5" customHeight="1">
      <c r="B832" s="67"/>
    </row>
    <row r="833" ht="13.5" customHeight="1">
      <c r="B833" s="67"/>
    </row>
    <row r="834" ht="13.5" customHeight="1">
      <c r="B834" s="67"/>
    </row>
    <row r="835" ht="13.5" customHeight="1">
      <c r="B835" s="67"/>
    </row>
    <row r="836" ht="13.5" customHeight="1">
      <c r="B836" s="67"/>
    </row>
    <row r="837" ht="13.5" customHeight="1">
      <c r="B837" s="67"/>
    </row>
    <row r="838" ht="13.5" customHeight="1">
      <c r="B838" s="67"/>
    </row>
    <row r="839" ht="13.5" customHeight="1">
      <c r="B839" s="67"/>
    </row>
    <row r="840" ht="13.5" customHeight="1">
      <c r="B840" s="67"/>
    </row>
    <row r="841" ht="13.5" customHeight="1">
      <c r="B841" s="67"/>
    </row>
    <row r="842" ht="13.5" customHeight="1">
      <c r="B842" s="67"/>
    </row>
    <row r="843" ht="13.5" customHeight="1">
      <c r="B843" s="67"/>
    </row>
    <row r="844" ht="13.5" customHeight="1">
      <c r="B844" s="67"/>
    </row>
    <row r="845" ht="13.5" customHeight="1">
      <c r="B845" s="67"/>
    </row>
    <row r="846" ht="13.5" customHeight="1">
      <c r="B846" s="67"/>
    </row>
    <row r="847" ht="13.5" customHeight="1">
      <c r="B847" s="67"/>
    </row>
    <row r="848" ht="13.5" customHeight="1">
      <c r="B848" s="67"/>
    </row>
    <row r="849" ht="13.5" customHeight="1">
      <c r="B849" s="67"/>
    </row>
    <row r="850" ht="13.5" customHeight="1">
      <c r="B850" s="67"/>
    </row>
    <row r="851" ht="13.5" customHeight="1">
      <c r="B851" s="67"/>
    </row>
    <row r="852" ht="13.5" customHeight="1">
      <c r="B852" s="67"/>
    </row>
    <row r="853" ht="13.5" customHeight="1">
      <c r="B853" s="67"/>
    </row>
    <row r="854" ht="13.5" customHeight="1">
      <c r="B854" s="67"/>
    </row>
    <row r="855" ht="13.5" customHeight="1">
      <c r="B855" s="67"/>
    </row>
    <row r="856" ht="13.5" customHeight="1">
      <c r="B856" s="67"/>
    </row>
    <row r="857" ht="13.5" customHeight="1">
      <c r="B857" s="67"/>
    </row>
    <row r="858" ht="13.5" customHeight="1">
      <c r="B858" s="67"/>
    </row>
    <row r="859" ht="13.5" customHeight="1">
      <c r="B859" s="67"/>
    </row>
    <row r="860" ht="13.5" customHeight="1">
      <c r="B860" s="67"/>
    </row>
    <row r="861" ht="13.5" customHeight="1">
      <c r="B861" s="67"/>
    </row>
    <row r="862" ht="13.5" customHeight="1">
      <c r="B862" s="67"/>
    </row>
    <row r="863" ht="13.5" customHeight="1">
      <c r="B863" s="67"/>
    </row>
    <row r="864" ht="13.5" customHeight="1">
      <c r="B864" s="67"/>
    </row>
    <row r="865" ht="13.5" customHeight="1">
      <c r="B865" s="67"/>
    </row>
    <row r="866" ht="13.5" customHeight="1">
      <c r="B866" s="67"/>
    </row>
    <row r="867" ht="13.5" customHeight="1">
      <c r="B867" s="67"/>
    </row>
    <row r="868" ht="13.5" customHeight="1">
      <c r="B868" s="67"/>
    </row>
    <row r="869" ht="13.5" customHeight="1">
      <c r="B869" s="67"/>
    </row>
    <row r="870" ht="13.5" customHeight="1">
      <c r="B870" s="67"/>
    </row>
    <row r="871" ht="13.5" customHeight="1">
      <c r="B871" s="67"/>
    </row>
    <row r="872" ht="13.5" customHeight="1">
      <c r="B872" s="67"/>
    </row>
    <row r="873" ht="13.5" customHeight="1">
      <c r="B873" s="67"/>
    </row>
    <row r="874" ht="13.5" customHeight="1">
      <c r="B874" s="67"/>
    </row>
    <row r="875" ht="13.5" customHeight="1">
      <c r="B875" s="67"/>
    </row>
    <row r="876" ht="13.5" customHeight="1">
      <c r="B876" s="67"/>
    </row>
    <row r="877" ht="13.5" customHeight="1">
      <c r="B877" s="67"/>
    </row>
    <row r="878" ht="13.5" customHeight="1">
      <c r="B878" s="67"/>
    </row>
    <row r="879" ht="13.5" customHeight="1">
      <c r="B879" s="67"/>
    </row>
    <row r="880" ht="13.5" customHeight="1">
      <c r="B880" s="67"/>
    </row>
    <row r="881" ht="13.5" customHeight="1">
      <c r="B881" s="67"/>
    </row>
    <row r="882" ht="13.5" customHeight="1">
      <c r="B882" s="67"/>
    </row>
    <row r="883" ht="13.5" customHeight="1">
      <c r="B883" s="67"/>
    </row>
    <row r="884" ht="13.5" customHeight="1">
      <c r="B884" s="67"/>
    </row>
    <row r="885" ht="13.5" customHeight="1">
      <c r="B885" s="67"/>
    </row>
    <row r="886" ht="13.5" customHeight="1">
      <c r="B886" s="67"/>
    </row>
    <row r="887" ht="13.5" customHeight="1">
      <c r="B887" s="67"/>
    </row>
    <row r="888" ht="13.5" customHeight="1">
      <c r="B888" s="67"/>
    </row>
    <row r="889" ht="13.5" customHeight="1">
      <c r="B889" s="67"/>
    </row>
    <row r="890" ht="13.5" customHeight="1">
      <c r="B890" s="67"/>
    </row>
    <row r="891" ht="13.5" customHeight="1">
      <c r="B891" s="67"/>
    </row>
    <row r="892" ht="13.5" customHeight="1">
      <c r="B892" s="67"/>
    </row>
    <row r="893" ht="13.5" customHeight="1">
      <c r="B893" s="67"/>
    </row>
    <row r="894" ht="13.5" customHeight="1">
      <c r="B894" s="67"/>
    </row>
    <row r="895" ht="13.5" customHeight="1">
      <c r="B895" s="67"/>
    </row>
    <row r="896" ht="13.5" customHeight="1">
      <c r="B896" s="67"/>
    </row>
    <row r="897" ht="13.5" customHeight="1">
      <c r="B897" s="67"/>
    </row>
    <row r="898" ht="13.5" customHeight="1">
      <c r="B898" s="67"/>
    </row>
    <row r="899" ht="13.5" customHeight="1">
      <c r="B899" s="67"/>
    </row>
    <row r="900" ht="13.5" customHeight="1">
      <c r="B900" s="67"/>
    </row>
    <row r="901" ht="13.5" customHeight="1">
      <c r="B901" s="67"/>
    </row>
    <row r="902" ht="13.5" customHeight="1">
      <c r="B902" s="67"/>
    </row>
    <row r="903" ht="13.5" customHeight="1">
      <c r="B903" s="67"/>
    </row>
    <row r="904" ht="13.5" customHeight="1">
      <c r="B904" s="67"/>
    </row>
    <row r="905" ht="13.5" customHeight="1">
      <c r="B905" s="67"/>
    </row>
    <row r="906" ht="13.5" customHeight="1">
      <c r="B906" s="67"/>
    </row>
    <row r="907" ht="13.5" customHeight="1">
      <c r="B907" s="67"/>
    </row>
    <row r="908" ht="13.5" customHeight="1">
      <c r="B908" s="67"/>
    </row>
    <row r="909" ht="13.5" customHeight="1">
      <c r="B909" s="67"/>
    </row>
    <row r="910" ht="13.5" customHeight="1">
      <c r="B910" s="67"/>
    </row>
    <row r="911" ht="13.5" customHeight="1">
      <c r="B911" s="67"/>
    </row>
    <row r="912" ht="13.5" customHeight="1">
      <c r="B912" s="67"/>
    </row>
    <row r="913" ht="13.5" customHeight="1">
      <c r="B913" s="67"/>
    </row>
    <row r="914" ht="13.5" customHeight="1">
      <c r="B914" s="67"/>
    </row>
    <row r="915" ht="13.5" customHeight="1">
      <c r="B915" s="67"/>
    </row>
    <row r="916" ht="13.5" customHeight="1">
      <c r="B916" s="67"/>
    </row>
    <row r="917" ht="13.5" customHeight="1">
      <c r="B917" s="67"/>
    </row>
    <row r="918" ht="13.5" customHeight="1">
      <c r="B918" s="67"/>
    </row>
    <row r="919" ht="13.5" customHeight="1">
      <c r="B919" s="67"/>
    </row>
    <row r="920" ht="13.5" customHeight="1">
      <c r="B920" s="67"/>
    </row>
    <row r="921" ht="13.5" customHeight="1">
      <c r="B921" s="67"/>
    </row>
    <row r="922" ht="13.5" customHeight="1">
      <c r="B922" s="67"/>
    </row>
    <row r="923" ht="13.5" customHeight="1">
      <c r="B923" s="67"/>
    </row>
    <row r="924" ht="13.5" customHeight="1">
      <c r="B924" s="67"/>
    </row>
    <row r="925" ht="13.5" customHeight="1">
      <c r="B925" s="67"/>
    </row>
    <row r="926" ht="13.5" customHeight="1">
      <c r="B926" s="67"/>
    </row>
    <row r="927" ht="13.5" customHeight="1">
      <c r="B927" s="67"/>
    </row>
    <row r="928" ht="13.5" customHeight="1">
      <c r="B928" s="67"/>
    </row>
    <row r="929" ht="13.5" customHeight="1">
      <c r="B929" s="67"/>
    </row>
    <row r="930" ht="13.5" customHeight="1">
      <c r="B930" s="67"/>
    </row>
    <row r="931" ht="13.5" customHeight="1">
      <c r="B931" s="67"/>
    </row>
    <row r="932" ht="13.5" customHeight="1">
      <c r="B932" s="67"/>
    </row>
    <row r="933" ht="13.5" customHeight="1">
      <c r="B933" s="67"/>
    </row>
    <row r="934" ht="13.5" customHeight="1">
      <c r="B934" s="67"/>
    </row>
    <row r="935" ht="13.5" customHeight="1">
      <c r="B935" s="67"/>
    </row>
    <row r="936" ht="13.5" customHeight="1">
      <c r="B936" s="67"/>
    </row>
    <row r="937" ht="13.5" customHeight="1">
      <c r="B937" s="67"/>
    </row>
    <row r="938" ht="13.5" customHeight="1">
      <c r="B938" s="67"/>
    </row>
    <row r="939" ht="13.5" customHeight="1">
      <c r="B939" s="67"/>
    </row>
    <row r="940" ht="13.5" customHeight="1">
      <c r="B940" s="67"/>
    </row>
    <row r="941" ht="13.5" customHeight="1">
      <c r="B941" s="67"/>
    </row>
    <row r="942" ht="13.5" customHeight="1">
      <c r="B942" s="67"/>
    </row>
    <row r="943" ht="13.5" customHeight="1">
      <c r="B943" s="67"/>
    </row>
    <row r="944" ht="13.5" customHeight="1">
      <c r="B944" s="67"/>
    </row>
    <row r="945" ht="13.5" customHeight="1">
      <c r="B945" s="67"/>
    </row>
    <row r="946" ht="13.5" customHeight="1">
      <c r="B946" s="67"/>
    </row>
    <row r="947" ht="13.5" customHeight="1">
      <c r="B947" s="67"/>
    </row>
    <row r="948" ht="13.5" customHeight="1">
      <c r="B948" s="67"/>
    </row>
    <row r="949" ht="13.5" customHeight="1">
      <c r="B949" s="67"/>
    </row>
    <row r="950" ht="13.5" customHeight="1">
      <c r="B950" s="67"/>
    </row>
    <row r="951" ht="13.5" customHeight="1">
      <c r="B951" s="67"/>
    </row>
    <row r="952" ht="13.5" customHeight="1">
      <c r="B952" s="67"/>
    </row>
    <row r="953" ht="13.5" customHeight="1">
      <c r="B953" s="67"/>
    </row>
    <row r="954" ht="13.5" customHeight="1">
      <c r="B954" s="67"/>
    </row>
    <row r="955" ht="13.5" customHeight="1">
      <c r="B955" s="67"/>
    </row>
    <row r="956" ht="13.5" customHeight="1">
      <c r="B956" s="67"/>
    </row>
    <row r="957" ht="13.5" customHeight="1">
      <c r="B957" s="67"/>
    </row>
    <row r="958" ht="13.5" customHeight="1">
      <c r="B958" s="67"/>
    </row>
    <row r="959" ht="13.5" customHeight="1">
      <c r="B959" s="67"/>
    </row>
    <row r="960" ht="13.5" customHeight="1">
      <c r="B960" s="67"/>
    </row>
    <row r="961" ht="13.5" customHeight="1">
      <c r="B961" s="67"/>
    </row>
    <row r="962" ht="13.5" customHeight="1">
      <c r="B962" s="67"/>
    </row>
    <row r="963" ht="13.5" customHeight="1">
      <c r="B963" s="67"/>
    </row>
    <row r="964" ht="13.5" customHeight="1">
      <c r="B964" s="67"/>
    </row>
    <row r="965" ht="13.5" customHeight="1">
      <c r="B965" s="67"/>
    </row>
    <row r="966" ht="13.5" customHeight="1">
      <c r="B966" s="67"/>
    </row>
    <row r="967" ht="13.5" customHeight="1">
      <c r="B967" s="67"/>
    </row>
    <row r="968" ht="13.5" customHeight="1">
      <c r="B968" s="67"/>
    </row>
    <row r="969" ht="13.5" customHeight="1">
      <c r="B969" s="67"/>
    </row>
    <row r="970" ht="13.5" customHeight="1">
      <c r="B970" s="67"/>
    </row>
    <row r="971" ht="13.5" customHeight="1">
      <c r="B971" s="67"/>
    </row>
    <row r="972" ht="13.5" customHeight="1">
      <c r="B972" s="67"/>
    </row>
    <row r="973" ht="13.5" customHeight="1">
      <c r="B973" s="67"/>
    </row>
    <row r="974" ht="13.5" customHeight="1">
      <c r="B974" s="67"/>
    </row>
    <row r="975" ht="13.5" customHeight="1">
      <c r="B975" s="67"/>
    </row>
    <row r="976" ht="13.5" customHeight="1">
      <c r="B976" s="67"/>
    </row>
    <row r="977" ht="13.5" customHeight="1">
      <c r="B977" s="67"/>
    </row>
    <row r="978" ht="13.5" customHeight="1">
      <c r="B978" s="67"/>
    </row>
    <row r="979" ht="13.5" customHeight="1">
      <c r="B979" s="67"/>
    </row>
    <row r="980" ht="13.5" customHeight="1">
      <c r="B980" s="67"/>
    </row>
    <row r="981" ht="13.5" customHeight="1">
      <c r="B981" s="67"/>
    </row>
    <row r="982" ht="13.5" customHeight="1">
      <c r="B982" s="67"/>
    </row>
    <row r="983" ht="13.5" customHeight="1">
      <c r="B983" s="67"/>
    </row>
    <row r="984" ht="13.5" customHeight="1">
      <c r="B984" s="67"/>
    </row>
    <row r="985" ht="13.5" customHeight="1">
      <c r="B985" s="67"/>
    </row>
    <row r="986" ht="13.5" customHeight="1">
      <c r="B986" s="67"/>
    </row>
    <row r="987" ht="13.5" customHeight="1">
      <c r="B987" s="67"/>
    </row>
    <row r="988" ht="13.5" customHeight="1">
      <c r="B988" s="67"/>
    </row>
    <row r="989" ht="13.5" customHeight="1">
      <c r="B989" s="67"/>
    </row>
    <row r="990" ht="13.5" customHeight="1">
      <c r="B990" s="67"/>
    </row>
    <row r="991" ht="13.5" customHeight="1">
      <c r="B991" s="67"/>
    </row>
    <row r="992" ht="13.5" customHeight="1">
      <c r="B992" s="67"/>
    </row>
    <row r="993" ht="13.5" customHeight="1">
      <c r="B993" s="67"/>
    </row>
    <row r="994" ht="13.5" customHeight="1">
      <c r="B994" s="67"/>
    </row>
    <row r="995" ht="13.5" customHeight="1">
      <c r="B995" s="67"/>
    </row>
    <row r="996" ht="13.5" customHeight="1">
      <c r="B996" s="67"/>
    </row>
    <row r="997" ht="13.5" customHeight="1">
      <c r="B997" s="67"/>
    </row>
    <row r="998" ht="13.5" customHeight="1">
      <c r="B998" s="67"/>
    </row>
    <row r="999" ht="13.5" customHeight="1">
      <c r="B999" s="67"/>
    </row>
    <row r="1000" ht="13.5" customHeight="1">
      <c r="B1000" s="67"/>
    </row>
  </sheetData>
  <dataValidations>
    <dataValidation type="list" allowBlank="1" showErrorMessage="1" sqref="B6:B1000">
      <formula1>"g,ml"</formula1>
    </dataValidation>
    <dataValidation type="decimal" allowBlank="1" sqref="D6:H115">
      <formula1>0.0</formula1>
      <formula2>10000.0</formula2>
    </dataValidation>
    <dataValidation type="decimal" allowBlank="1" sqref="C6:C115">
      <formula1>0.01</formula1>
      <formula2>10000.0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5.0"/>
    <col customWidth="1" min="2" max="2" width="112.0"/>
    <col customWidth="1" min="3" max="3" width="90.0"/>
    <col customWidth="1" min="4" max="26" width="8.63"/>
  </cols>
  <sheetData>
    <row r="1" ht="21.75" customHeight="1">
      <c r="A1" s="4"/>
      <c r="B1" s="4"/>
      <c r="C1" s="4"/>
    </row>
    <row r="2" ht="21.75" customHeight="1">
      <c r="A2" s="5" t="s">
        <v>407</v>
      </c>
      <c r="B2" s="4"/>
      <c r="C2" s="4"/>
    </row>
    <row r="3" ht="21.75" customHeight="1">
      <c r="A3" s="45" t="s">
        <v>408</v>
      </c>
      <c r="B3" s="4"/>
      <c r="C3" s="4"/>
    </row>
    <row r="4" ht="21.75" customHeight="1">
      <c r="A4" s="4"/>
      <c r="B4" s="4"/>
      <c r="C4" s="4"/>
    </row>
    <row r="5" ht="37.5" customHeight="1">
      <c r="A5" s="7" t="s">
        <v>409</v>
      </c>
      <c r="B5" s="7" t="s">
        <v>410</v>
      </c>
      <c r="C5" s="7" t="s">
        <v>411</v>
      </c>
    </row>
    <row r="6" ht="48.0" customHeight="1">
      <c r="A6" s="75" t="s">
        <v>412</v>
      </c>
      <c r="B6" s="85" t="s">
        <v>413</v>
      </c>
      <c r="C6" s="85" t="s">
        <v>414</v>
      </c>
    </row>
    <row r="7" ht="48.0" customHeight="1">
      <c r="A7" s="75" t="s">
        <v>415</v>
      </c>
      <c r="B7" s="85" t="s">
        <v>416</v>
      </c>
      <c r="C7" s="85" t="s">
        <v>417</v>
      </c>
    </row>
    <row r="8" ht="48.0" customHeight="1">
      <c r="A8" s="75" t="s">
        <v>418</v>
      </c>
      <c r="B8" s="85" t="s">
        <v>419</v>
      </c>
      <c r="C8" s="85" t="s">
        <v>420</v>
      </c>
    </row>
    <row r="9" ht="48.0" customHeight="1">
      <c r="A9" s="75" t="s">
        <v>421</v>
      </c>
      <c r="B9" s="85" t="s">
        <v>422</v>
      </c>
      <c r="C9" s="85" t="s">
        <v>423</v>
      </c>
    </row>
    <row r="10" ht="48.0" customHeight="1">
      <c r="A10" s="75" t="s">
        <v>424</v>
      </c>
      <c r="B10" s="85" t="s">
        <v>425</v>
      </c>
      <c r="C10" s="85" t="s">
        <v>426</v>
      </c>
    </row>
    <row r="11" ht="48.0" customHeight="1">
      <c r="A11" s="75" t="s">
        <v>427</v>
      </c>
      <c r="B11" s="85" t="s">
        <v>428</v>
      </c>
      <c r="C11" s="85" t="s">
        <v>429</v>
      </c>
    </row>
    <row r="12" ht="48.0" customHeight="1">
      <c r="A12" s="75" t="s">
        <v>430</v>
      </c>
      <c r="B12" s="85" t="s">
        <v>431</v>
      </c>
      <c r="C12" s="85" t="s">
        <v>432</v>
      </c>
    </row>
    <row r="13" ht="48.0" customHeight="1">
      <c r="A13" s="75" t="s">
        <v>433</v>
      </c>
      <c r="B13" s="85" t="s">
        <v>434</v>
      </c>
      <c r="C13" s="85" t="s">
        <v>436</v>
      </c>
    </row>
    <row r="14" ht="48.0" customHeight="1">
      <c r="A14" s="75" t="s">
        <v>437</v>
      </c>
      <c r="B14" s="85" t="s">
        <v>438</v>
      </c>
      <c r="C14" s="85" t="s">
        <v>439</v>
      </c>
    </row>
    <row r="15" ht="48.0" customHeight="1">
      <c r="A15" s="75" t="s">
        <v>440</v>
      </c>
      <c r="B15" s="85" t="s">
        <v>441</v>
      </c>
      <c r="C15" s="85" t="s">
        <v>442</v>
      </c>
    </row>
    <row r="16" ht="48.0" customHeight="1">
      <c r="A16" s="75" t="s">
        <v>443</v>
      </c>
      <c r="B16" s="85" t="s">
        <v>444</v>
      </c>
      <c r="C16" s="85" t="s">
        <v>445</v>
      </c>
    </row>
    <row r="17" ht="48.0" customHeight="1">
      <c r="A17" s="75" t="s">
        <v>446</v>
      </c>
      <c r="B17" s="85" t="s">
        <v>447</v>
      </c>
      <c r="C17" s="85" t="s">
        <v>448</v>
      </c>
    </row>
    <row r="18" ht="48.0" customHeight="1">
      <c r="A18" s="75" t="s">
        <v>449</v>
      </c>
      <c r="B18" s="85" t="s">
        <v>450</v>
      </c>
      <c r="C18" s="85" t="s">
        <v>451</v>
      </c>
    </row>
    <row r="19" ht="48.0" customHeight="1">
      <c r="A19" s="75" t="s">
        <v>452</v>
      </c>
      <c r="B19" s="85" t="s">
        <v>453</v>
      </c>
      <c r="C19" s="85" t="s">
        <v>454</v>
      </c>
    </row>
    <row r="20" ht="48.0" customHeight="1">
      <c r="A20" s="75" t="s">
        <v>455</v>
      </c>
      <c r="B20" s="85" t="s">
        <v>456</v>
      </c>
      <c r="C20" s="85" t="s">
        <v>457</v>
      </c>
    </row>
    <row r="21" ht="48.0" customHeight="1">
      <c r="A21" s="75" t="s">
        <v>458</v>
      </c>
      <c r="B21" s="85" t="s">
        <v>459</v>
      </c>
      <c r="C21" s="85" t="s">
        <v>460</v>
      </c>
    </row>
    <row r="22" ht="48.0" customHeight="1">
      <c r="A22" s="75" t="s">
        <v>461</v>
      </c>
      <c r="B22" s="85" t="s">
        <v>462</v>
      </c>
      <c r="C22" s="85" t="s">
        <v>463</v>
      </c>
    </row>
    <row r="23" ht="43.5" customHeight="1">
      <c r="A23" s="75" t="s">
        <v>464</v>
      </c>
      <c r="B23" s="85" t="s">
        <v>465</v>
      </c>
      <c r="C23" s="85" t="s">
        <v>466</v>
      </c>
    </row>
    <row r="24" ht="43.5" customHeight="1">
      <c r="A24" s="4"/>
      <c r="B24" s="86"/>
      <c r="C24" s="86"/>
    </row>
    <row r="25" ht="43.5" customHeight="1">
      <c r="A25" s="4"/>
      <c r="B25" s="86"/>
      <c r="C25" s="86"/>
    </row>
    <row r="26" ht="21.75" customHeight="1">
      <c r="A26" s="4"/>
      <c r="B26" s="4"/>
      <c r="C26" s="4"/>
    </row>
    <row r="27" ht="21.75" customHeight="1">
      <c r="A27" s="4"/>
      <c r="B27" s="4"/>
      <c r="C27" s="4"/>
    </row>
    <row r="28" ht="21.75" customHeight="1">
      <c r="A28" s="4"/>
      <c r="B28" s="4"/>
      <c r="C28" s="4"/>
    </row>
    <row r="29" ht="21.75" customHeight="1">
      <c r="A29" s="4"/>
      <c r="B29" s="4"/>
      <c r="C29" s="4"/>
    </row>
    <row r="30" ht="21.75" customHeight="1">
      <c r="A30" s="4"/>
      <c r="B30" s="4"/>
      <c r="C30" s="4"/>
    </row>
    <row r="31" ht="21.75" customHeight="1">
      <c r="A31" s="4"/>
      <c r="B31" s="4"/>
      <c r="C31" s="4"/>
    </row>
    <row r="32" ht="21.75" customHeight="1">
      <c r="A32" s="4"/>
      <c r="B32" s="4"/>
      <c r="C32" s="4"/>
    </row>
    <row r="33" ht="21.75" customHeight="1">
      <c r="A33" s="4"/>
      <c r="B33" s="4"/>
      <c r="C33" s="4"/>
    </row>
    <row r="34" ht="21.75" customHeight="1">
      <c r="A34" s="4"/>
      <c r="B34" s="4"/>
      <c r="C34" s="4"/>
    </row>
    <row r="35" ht="21.75" customHeight="1">
      <c r="A35" s="4"/>
      <c r="B35" s="4"/>
      <c r="C35" s="4"/>
    </row>
    <row r="36" ht="21.75" customHeight="1">
      <c r="A36" s="4"/>
      <c r="B36" s="4"/>
      <c r="C36" s="4"/>
    </row>
    <row r="37" ht="21.75" customHeight="1">
      <c r="A37" s="4"/>
      <c r="B37" s="4"/>
      <c r="C37" s="4"/>
    </row>
    <row r="38" ht="21.75" customHeight="1">
      <c r="A38" s="4"/>
      <c r="B38" s="4"/>
      <c r="C38" s="4"/>
    </row>
    <row r="39" ht="21.75" customHeight="1">
      <c r="A39" s="4"/>
      <c r="B39" s="4"/>
      <c r="C39" s="4"/>
    </row>
    <row r="40" ht="21.75" customHeight="1">
      <c r="A40" s="4"/>
      <c r="B40" s="4"/>
      <c r="C40" s="4"/>
    </row>
    <row r="41" ht="21.75" customHeight="1">
      <c r="A41" s="4"/>
      <c r="B41" s="4"/>
      <c r="C41" s="4"/>
    </row>
    <row r="42" ht="21.75" customHeight="1">
      <c r="A42" s="4"/>
      <c r="B42" s="4"/>
      <c r="C42" s="4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2" width="15.0"/>
    <col customWidth="1" min="3" max="3" width="13.0"/>
    <col customWidth="1" min="4" max="5" width="15.0"/>
    <col customWidth="1" min="6" max="7" width="18.0"/>
    <col customWidth="1" min="8" max="9" width="16.0"/>
    <col customWidth="1" min="10" max="10" width="18.0"/>
    <col customWidth="1" min="11" max="11" width="20.0"/>
    <col customWidth="1" min="12" max="12" width="70.0"/>
    <col customWidth="1" min="13" max="32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2.5" customHeight="1">
      <c r="A2" s="39" t="s">
        <v>477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2.5" customHeight="1">
      <c r="A3" s="1" t="s">
        <v>478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39.75" customHeight="1">
      <c r="A5" s="87" t="s">
        <v>479</v>
      </c>
      <c r="B5" s="87" t="s">
        <v>102</v>
      </c>
      <c r="C5" s="87" t="s">
        <v>116</v>
      </c>
      <c r="D5" s="87" t="s">
        <v>157</v>
      </c>
      <c r="E5" s="87" t="s">
        <v>161</v>
      </c>
      <c r="F5" s="87" t="s">
        <v>231</v>
      </c>
      <c r="G5" s="87" t="s">
        <v>481</v>
      </c>
      <c r="H5" s="87" t="s">
        <v>482</v>
      </c>
      <c r="I5" s="87" t="s">
        <v>483</v>
      </c>
      <c r="J5" s="87" t="s">
        <v>484</v>
      </c>
      <c r="K5" s="87" t="s">
        <v>485</v>
      </c>
      <c r="L5" s="87" t="s">
        <v>486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22.5" customHeight="1">
      <c r="A6" s="76">
        <v>1.0</v>
      </c>
      <c r="B6" s="71" t="s">
        <v>487</v>
      </c>
      <c r="C6" s="55">
        <v>2400.0</v>
      </c>
      <c r="D6" s="55">
        <v>140.0</v>
      </c>
      <c r="E6" s="55">
        <v>65.0</v>
      </c>
      <c r="F6" s="55">
        <v>313.75</v>
      </c>
      <c r="G6" s="55">
        <v>3.0</v>
      </c>
      <c r="H6" s="55">
        <v>135.0</v>
      </c>
      <c r="I6" s="55">
        <v>145.0</v>
      </c>
      <c r="J6" s="88">
        <v>0.05</v>
      </c>
      <c r="K6" s="88">
        <v>0.15</v>
      </c>
      <c r="L6" s="71" t="s">
        <v>489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22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22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22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22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22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3F6278CC-8AA6-425D-9E26-F2E35FC2CCFC}" filter="1" showAutoFilter="1">
      <autoFilter ref="$A$5:$L$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0.0"/>
    <col customWidth="1" min="2" max="2" width="24.0"/>
    <col customWidth="1" min="3" max="3" width="70.0"/>
    <col customWidth="1" min="4" max="26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39" t="s">
        <v>491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75" customHeight="1">
      <c r="A5" s="68" t="s">
        <v>3</v>
      </c>
      <c r="B5" s="68" t="s">
        <v>492</v>
      </c>
      <c r="C5" s="68" t="s">
        <v>493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71" t="s">
        <v>198</v>
      </c>
      <c r="B6" s="71" t="s">
        <v>199</v>
      </c>
      <c r="C6" s="71" t="s">
        <v>494</v>
      </c>
      <c r="D6" s="1"/>
      <c r="E6" s="1"/>
      <c r="F6" s="22" t="s">
        <v>190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71" t="s">
        <v>210</v>
      </c>
      <c r="B7" s="71" t="s">
        <v>212</v>
      </c>
      <c r="C7" s="71" t="s">
        <v>494</v>
      </c>
      <c r="D7" s="1"/>
      <c r="E7" s="1"/>
      <c r="F7" s="22" t="s">
        <v>223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71" t="s">
        <v>495</v>
      </c>
      <c r="B8" s="71" t="s">
        <v>212</v>
      </c>
      <c r="C8" s="71" t="s">
        <v>494</v>
      </c>
      <c r="D8" s="1"/>
      <c r="E8" s="1"/>
      <c r="F8" s="22" t="s">
        <v>265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71" t="s">
        <v>496</v>
      </c>
      <c r="B9" s="71" t="s">
        <v>199</v>
      </c>
      <c r="C9" s="71" t="s">
        <v>494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71" t="s">
        <v>215</v>
      </c>
      <c r="B10" s="71" t="s">
        <v>216</v>
      </c>
      <c r="C10" s="71" t="s">
        <v>494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71" t="s">
        <v>217</v>
      </c>
      <c r="B11" s="71" t="s">
        <v>216</v>
      </c>
      <c r="C11" s="71" t="s">
        <v>494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71" t="s">
        <v>219</v>
      </c>
      <c r="B12" s="71" t="s">
        <v>220</v>
      </c>
      <c r="C12" s="71" t="s">
        <v>494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71" t="s">
        <v>498</v>
      </c>
      <c r="B13" s="71" t="s">
        <v>222</v>
      </c>
      <c r="C13" s="71" t="s">
        <v>494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71" t="s">
        <v>499</v>
      </c>
      <c r="B14" s="71" t="s">
        <v>225</v>
      </c>
      <c r="C14" s="71" t="s">
        <v>494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71" t="s">
        <v>226</v>
      </c>
      <c r="B15" s="71" t="s">
        <v>225</v>
      </c>
      <c r="C15" s="71" t="s">
        <v>494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71" t="s">
        <v>227</v>
      </c>
      <c r="B16" s="71" t="s">
        <v>228</v>
      </c>
      <c r="C16" s="71" t="s">
        <v>494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71" t="s">
        <v>235</v>
      </c>
      <c r="B17" s="71" t="s">
        <v>228</v>
      </c>
      <c r="C17" s="71" t="s">
        <v>494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71" t="s">
        <v>501</v>
      </c>
      <c r="B18" s="71" t="s">
        <v>237</v>
      </c>
      <c r="C18" s="71" t="s">
        <v>494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71" t="s">
        <v>253</v>
      </c>
      <c r="B19" s="71" t="s">
        <v>255</v>
      </c>
      <c r="C19" s="71" t="s">
        <v>494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71" t="s">
        <v>502</v>
      </c>
      <c r="B20" s="71" t="s">
        <v>199</v>
      </c>
      <c r="C20" s="71" t="s">
        <v>494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71" t="s">
        <v>503</v>
      </c>
      <c r="B21" s="71" t="s">
        <v>212</v>
      </c>
      <c r="C21" s="71" t="s">
        <v>494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71" t="s">
        <v>272</v>
      </c>
      <c r="B22" s="71" t="s">
        <v>212</v>
      </c>
      <c r="C22" s="71" t="s">
        <v>494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71" t="s">
        <v>279</v>
      </c>
      <c r="B23" s="71" t="s">
        <v>220</v>
      </c>
      <c r="C23" s="71" t="s">
        <v>494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89" t="s">
        <v>505</v>
      </c>
      <c r="B24" s="89" t="s">
        <v>228</v>
      </c>
      <c r="C24" s="89" t="s">
        <v>494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89" t="s">
        <v>506</v>
      </c>
      <c r="B25" s="89" t="s">
        <v>225</v>
      </c>
      <c r="C25" s="89" t="s">
        <v>494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89" t="s">
        <v>507</v>
      </c>
      <c r="B26" s="89" t="s">
        <v>225</v>
      </c>
      <c r="C26" s="89" t="s">
        <v>494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89" t="s">
        <v>508</v>
      </c>
      <c r="B27" s="89" t="s">
        <v>199</v>
      </c>
      <c r="C27" s="89" t="s">
        <v>494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89" t="s">
        <v>206</v>
      </c>
      <c r="B28" s="89" t="s">
        <v>199</v>
      </c>
      <c r="C28" s="89" t="s">
        <v>494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89" t="s">
        <v>509</v>
      </c>
      <c r="B29" s="89" t="s">
        <v>212</v>
      </c>
      <c r="C29" s="89" t="s">
        <v>494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89" t="s">
        <v>510</v>
      </c>
      <c r="B30" s="89" t="s">
        <v>216</v>
      </c>
      <c r="C30" s="89" t="s">
        <v>494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89" t="s">
        <v>511</v>
      </c>
      <c r="B31" s="89" t="s">
        <v>222</v>
      </c>
      <c r="C31" s="89" t="s">
        <v>494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89" t="s">
        <v>512</v>
      </c>
      <c r="B32" s="89" t="s">
        <v>222</v>
      </c>
      <c r="C32" s="89" t="s">
        <v>494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89" t="s">
        <v>513</v>
      </c>
      <c r="B33" s="89" t="s">
        <v>220</v>
      </c>
      <c r="C33" s="89" t="s">
        <v>494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89" t="s">
        <v>514</v>
      </c>
      <c r="B34" s="89" t="s">
        <v>237</v>
      </c>
      <c r="C34" s="89" t="s">
        <v>494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89" t="s">
        <v>515</v>
      </c>
      <c r="B35" s="89" t="s">
        <v>255</v>
      </c>
      <c r="C35" s="89" t="s">
        <v>494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89" t="s">
        <v>517</v>
      </c>
      <c r="B36" s="89" t="s">
        <v>228</v>
      </c>
      <c r="C36" s="89" t="s">
        <v>494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50" t="s">
        <v>213</v>
      </c>
      <c r="B37" s="50" t="s">
        <v>212</v>
      </c>
      <c r="C37" s="50" t="s">
        <v>518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50" t="s">
        <v>214</v>
      </c>
      <c r="B38" s="50" t="s">
        <v>199</v>
      </c>
      <c r="C38" s="50" t="s">
        <v>518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50" t="s">
        <v>218</v>
      </c>
      <c r="B39" s="50" t="s">
        <v>216</v>
      </c>
      <c r="C39" s="50" t="s">
        <v>518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50" t="s">
        <v>221</v>
      </c>
      <c r="B40" s="50" t="s">
        <v>222</v>
      </c>
      <c r="C40" s="50" t="s">
        <v>518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50" t="s">
        <v>224</v>
      </c>
      <c r="B41" s="50" t="s">
        <v>225</v>
      </c>
      <c r="C41" s="50" t="s">
        <v>518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50" t="s">
        <v>236</v>
      </c>
      <c r="B42" s="50" t="s">
        <v>237</v>
      </c>
      <c r="C42" s="50" t="s">
        <v>518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50" t="s">
        <v>242</v>
      </c>
      <c r="B43" s="50" t="s">
        <v>237</v>
      </c>
      <c r="C43" s="50" t="s">
        <v>518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50" t="s">
        <v>268</v>
      </c>
      <c r="B44" s="50" t="s">
        <v>199</v>
      </c>
      <c r="C44" s="50" t="s">
        <v>520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0FC65A5E-CB6B-4866-9922-5619B2C97A5B}" filter="1" showAutoFilter="1">
      <autoFilter ref="$A$5:$C$4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4.0"/>
    <col customWidth="1" min="2" max="2" width="15.0"/>
    <col customWidth="1" min="3" max="3" width="17.0"/>
    <col customWidth="1" min="4" max="4" width="35.0"/>
    <col customWidth="1" min="5" max="5" width="22.0"/>
    <col customWidth="1" min="6" max="7" width="19.0"/>
    <col customWidth="1" min="8" max="9" width="14.0"/>
    <col customWidth="1" min="10" max="11" width="18.0"/>
    <col customWidth="1" min="12" max="12" width="16.0"/>
    <col customWidth="1" min="13" max="13" width="35.0"/>
    <col customWidth="1" min="14" max="14" width="22.0"/>
    <col customWidth="1" min="15" max="15" width="70.0"/>
    <col customWidth="1" min="16" max="33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39" t="s">
        <v>522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>
      <c r="A3" s="1" t="s">
        <v>524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9.75" customHeight="1">
      <c r="A5" s="68" t="s">
        <v>102</v>
      </c>
      <c r="B5" s="68" t="s">
        <v>479</v>
      </c>
      <c r="C5" s="68" t="s">
        <v>50</v>
      </c>
      <c r="D5" s="68" t="s">
        <v>3</v>
      </c>
      <c r="E5" s="68" t="s">
        <v>492</v>
      </c>
      <c r="F5" s="68" t="s">
        <v>172</v>
      </c>
      <c r="G5" s="68" t="s">
        <v>173</v>
      </c>
      <c r="H5" s="68" t="s">
        <v>192</v>
      </c>
      <c r="I5" s="68" t="s">
        <v>193</v>
      </c>
      <c r="J5" s="68" t="s">
        <v>528</v>
      </c>
      <c r="K5" s="68" t="s">
        <v>529</v>
      </c>
      <c r="L5" s="68" t="s">
        <v>180</v>
      </c>
      <c r="M5" s="68" t="s">
        <v>182</v>
      </c>
      <c r="N5" s="68" t="s">
        <v>530</v>
      </c>
      <c r="O5" s="68" t="s">
        <v>72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22.5" customHeight="1">
      <c r="A6" s="71" t="s">
        <v>531</v>
      </c>
      <c r="B6" s="76">
        <v>1.0</v>
      </c>
      <c r="C6" s="71" t="s">
        <v>190</v>
      </c>
      <c r="D6" s="71" t="s">
        <v>198</v>
      </c>
      <c r="E6" s="71" t="s">
        <v>199</v>
      </c>
      <c r="F6" s="71">
        <v>2.0</v>
      </c>
      <c r="G6" s="71">
        <v>3.0</v>
      </c>
      <c r="H6" s="71">
        <v>6.0</v>
      </c>
      <c r="I6" s="71">
        <v>10.0</v>
      </c>
      <c r="J6" s="71">
        <v>3.0</v>
      </c>
      <c r="K6" s="71">
        <v>2.0</v>
      </c>
      <c r="L6" s="71">
        <v>150.0</v>
      </c>
      <c r="M6" s="71" t="s">
        <v>206</v>
      </c>
      <c r="N6" s="71" t="s">
        <v>371</v>
      </c>
      <c r="O6" s="71" t="s">
        <v>533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22.5" customHeight="1">
      <c r="A7" s="71" t="s">
        <v>531</v>
      </c>
      <c r="B7" s="76">
        <v>1.0</v>
      </c>
      <c r="C7" s="71" t="s">
        <v>190</v>
      </c>
      <c r="D7" s="71" t="s">
        <v>210</v>
      </c>
      <c r="E7" s="71" t="s">
        <v>212</v>
      </c>
      <c r="F7" s="71">
        <v>2.0</v>
      </c>
      <c r="G7" s="71">
        <v>3.0</v>
      </c>
      <c r="H7" s="71">
        <v>8.0</v>
      </c>
      <c r="I7" s="71">
        <v>12.0</v>
      </c>
      <c r="J7" s="71">
        <v>3.0</v>
      </c>
      <c r="K7" s="71">
        <v>2.0</v>
      </c>
      <c r="L7" s="71">
        <v>150.0</v>
      </c>
      <c r="M7" s="71" t="s">
        <v>503</v>
      </c>
      <c r="N7" s="71" t="s">
        <v>371</v>
      </c>
      <c r="O7" s="71" t="s">
        <v>533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2.5" customHeight="1">
      <c r="A8" s="71" t="s">
        <v>531</v>
      </c>
      <c r="B8" s="76">
        <v>1.0</v>
      </c>
      <c r="C8" s="71" t="s">
        <v>190</v>
      </c>
      <c r="D8" s="71" t="s">
        <v>495</v>
      </c>
      <c r="E8" s="71" t="s">
        <v>212</v>
      </c>
      <c r="F8" s="71">
        <v>2.0</v>
      </c>
      <c r="G8" s="71">
        <v>3.0</v>
      </c>
      <c r="H8" s="71">
        <v>8.0</v>
      </c>
      <c r="I8" s="71">
        <v>12.0</v>
      </c>
      <c r="J8" s="71">
        <v>3.0</v>
      </c>
      <c r="K8" s="71">
        <v>2.0</v>
      </c>
      <c r="L8" s="71">
        <v>150.0</v>
      </c>
      <c r="M8" s="71" t="s">
        <v>537</v>
      </c>
      <c r="N8" s="71" t="s">
        <v>371</v>
      </c>
      <c r="O8" s="71" t="s">
        <v>533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22.5" customHeight="1">
      <c r="A9" s="71" t="s">
        <v>531</v>
      </c>
      <c r="B9" s="76">
        <v>1.0</v>
      </c>
      <c r="C9" s="71" t="s">
        <v>190</v>
      </c>
      <c r="D9" s="71" t="s">
        <v>496</v>
      </c>
      <c r="E9" s="71" t="s">
        <v>199</v>
      </c>
      <c r="F9" s="71">
        <v>2.0</v>
      </c>
      <c r="G9" s="71">
        <v>2.0</v>
      </c>
      <c r="H9" s="71">
        <v>8.0</v>
      </c>
      <c r="I9" s="71">
        <v>12.0</v>
      </c>
      <c r="J9" s="71">
        <v>3.0</v>
      </c>
      <c r="K9" s="71">
        <v>2.0</v>
      </c>
      <c r="L9" s="71">
        <v>150.0</v>
      </c>
      <c r="M9" s="71" t="s">
        <v>539</v>
      </c>
      <c r="N9" s="71" t="s">
        <v>371</v>
      </c>
      <c r="O9" s="71" t="s">
        <v>533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2.5" customHeight="1">
      <c r="A10" s="71" t="s">
        <v>531</v>
      </c>
      <c r="B10" s="76">
        <v>1.0</v>
      </c>
      <c r="C10" s="71" t="s">
        <v>190</v>
      </c>
      <c r="D10" s="71" t="s">
        <v>215</v>
      </c>
      <c r="E10" s="71" t="s">
        <v>216</v>
      </c>
      <c r="F10" s="71">
        <v>2.0</v>
      </c>
      <c r="G10" s="71">
        <v>3.0</v>
      </c>
      <c r="H10" s="71">
        <v>12.0</v>
      </c>
      <c r="I10" s="71">
        <v>15.0</v>
      </c>
      <c r="J10" s="71">
        <v>3.0</v>
      </c>
      <c r="K10" s="71">
        <v>2.0</v>
      </c>
      <c r="L10" s="71">
        <v>120.0</v>
      </c>
      <c r="M10" s="71" t="s">
        <v>541</v>
      </c>
      <c r="N10" s="71" t="s">
        <v>371</v>
      </c>
      <c r="O10" s="71" t="s">
        <v>533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2.5" customHeight="1">
      <c r="A11" s="71" t="s">
        <v>531</v>
      </c>
      <c r="B11" s="76">
        <v>1.0</v>
      </c>
      <c r="C11" s="71" t="s">
        <v>190</v>
      </c>
      <c r="D11" s="71" t="s">
        <v>217</v>
      </c>
      <c r="E11" s="71" t="s">
        <v>216</v>
      </c>
      <c r="F11" s="71">
        <v>2.0</v>
      </c>
      <c r="G11" s="71">
        <v>2.0</v>
      </c>
      <c r="H11" s="71">
        <v>12.0</v>
      </c>
      <c r="I11" s="71">
        <v>15.0</v>
      </c>
      <c r="J11" s="71">
        <v>3.0</v>
      </c>
      <c r="K11" s="71">
        <v>2.0</v>
      </c>
      <c r="L11" s="71">
        <v>120.0</v>
      </c>
      <c r="M11" s="71" t="s">
        <v>543</v>
      </c>
      <c r="N11" s="71" t="s">
        <v>371</v>
      </c>
      <c r="O11" s="71" t="s">
        <v>533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2.5" customHeight="1">
      <c r="A12" s="71" t="s">
        <v>531</v>
      </c>
      <c r="B12" s="76">
        <v>1.0</v>
      </c>
      <c r="C12" s="71" t="s">
        <v>190</v>
      </c>
      <c r="D12" s="71" t="s">
        <v>219</v>
      </c>
      <c r="E12" s="71" t="s">
        <v>220</v>
      </c>
      <c r="F12" s="71">
        <v>2.0</v>
      </c>
      <c r="G12" s="71">
        <v>2.0</v>
      </c>
      <c r="H12" s="71">
        <v>8.0</v>
      </c>
      <c r="I12" s="71">
        <v>12.0</v>
      </c>
      <c r="J12" s="71">
        <v>3.0</v>
      </c>
      <c r="K12" s="71">
        <v>2.0</v>
      </c>
      <c r="L12" s="71">
        <v>120.0</v>
      </c>
      <c r="M12" s="71" t="s">
        <v>279</v>
      </c>
      <c r="N12" s="71" t="s">
        <v>371</v>
      </c>
      <c r="O12" s="71" t="s">
        <v>533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2.5" customHeight="1">
      <c r="A13" s="71" t="s">
        <v>531</v>
      </c>
      <c r="B13" s="76">
        <v>1.0</v>
      </c>
      <c r="C13" s="71" t="s">
        <v>190</v>
      </c>
      <c r="D13" s="71" t="s">
        <v>498</v>
      </c>
      <c r="E13" s="71" t="s">
        <v>222</v>
      </c>
      <c r="F13" s="71">
        <v>2.0</v>
      </c>
      <c r="G13" s="71">
        <v>2.0</v>
      </c>
      <c r="H13" s="71">
        <v>8.0</v>
      </c>
      <c r="I13" s="71">
        <v>12.0</v>
      </c>
      <c r="J13" s="71">
        <v>3.0</v>
      </c>
      <c r="K13" s="71">
        <v>2.0</v>
      </c>
      <c r="L13" s="71">
        <v>120.0</v>
      </c>
      <c r="M13" s="71" t="s">
        <v>511</v>
      </c>
      <c r="N13" s="71" t="s">
        <v>371</v>
      </c>
      <c r="O13" s="71" t="s">
        <v>533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2.5" customHeight="1">
      <c r="A14" s="71" t="s">
        <v>531</v>
      </c>
      <c r="B14" s="76">
        <v>1.0</v>
      </c>
      <c r="C14" s="71" t="s">
        <v>223</v>
      </c>
      <c r="D14" s="71" t="s">
        <v>499</v>
      </c>
      <c r="E14" s="71" t="s">
        <v>225</v>
      </c>
      <c r="F14" s="71">
        <v>2.0</v>
      </c>
      <c r="G14" s="71">
        <v>3.0</v>
      </c>
      <c r="H14" s="71">
        <v>6.0</v>
      </c>
      <c r="I14" s="71">
        <v>10.0</v>
      </c>
      <c r="J14" s="71">
        <v>3.0</v>
      </c>
      <c r="K14" s="71">
        <v>2.0</v>
      </c>
      <c r="L14" s="71">
        <v>150.0</v>
      </c>
      <c r="M14" s="71" t="s">
        <v>226</v>
      </c>
      <c r="N14" s="71" t="s">
        <v>371</v>
      </c>
      <c r="O14" s="71" t="s">
        <v>533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2.5" customHeight="1">
      <c r="A15" s="71" t="s">
        <v>531</v>
      </c>
      <c r="B15" s="76">
        <v>1.0</v>
      </c>
      <c r="C15" s="71" t="s">
        <v>223</v>
      </c>
      <c r="D15" s="71" t="s">
        <v>226</v>
      </c>
      <c r="E15" s="71" t="s">
        <v>225</v>
      </c>
      <c r="F15" s="71">
        <v>2.0</v>
      </c>
      <c r="G15" s="71">
        <v>3.0</v>
      </c>
      <c r="H15" s="71">
        <v>8.0</v>
      </c>
      <c r="I15" s="71">
        <v>12.0</v>
      </c>
      <c r="J15" s="71">
        <v>3.0</v>
      </c>
      <c r="K15" s="71">
        <v>2.0</v>
      </c>
      <c r="L15" s="71">
        <v>150.0</v>
      </c>
      <c r="M15" s="71" t="s">
        <v>506</v>
      </c>
      <c r="N15" s="71" t="s">
        <v>371</v>
      </c>
      <c r="O15" s="71" t="s">
        <v>533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2.5" customHeight="1">
      <c r="A16" s="71" t="s">
        <v>531</v>
      </c>
      <c r="B16" s="76">
        <v>1.0</v>
      </c>
      <c r="C16" s="71" t="s">
        <v>223</v>
      </c>
      <c r="D16" s="71" t="s">
        <v>227</v>
      </c>
      <c r="E16" s="71" t="s">
        <v>228</v>
      </c>
      <c r="F16" s="71">
        <v>2.0</v>
      </c>
      <c r="G16" s="71">
        <v>3.0</v>
      </c>
      <c r="H16" s="71">
        <v>8.0</v>
      </c>
      <c r="I16" s="71">
        <v>12.0</v>
      </c>
      <c r="J16" s="71">
        <v>3.0</v>
      </c>
      <c r="K16" s="71">
        <v>2.0</v>
      </c>
      <c r="L16" s="71">
        <v>150.0</v>
      </c>
      <c r="M16" s="71" t="s">
        <v>517</v>
      </c>
      <c r="N16" s="71" t="s">
        <v>371</v>
      </c>
      <c r="O16" s="71" t="s">
        <v>533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2.5" customHeight="1">
      <c r="A17" s="71" t="s">
        <v>531</v>
      </c>
      <c r="B17" s="76">
        <v>1.0</v>
      </c>
      <c r="C17" s="71" t="s">
        <v>223</v>
      </c>
      <c r="D17" s="71" t="s">
        <v>235</v>
      </c>
      <c r="E17" s="71" t="s">
        <v>228</v>
      </c>
      <c r="F17" s="71">
        <v>2.0</v>
      </c>
      <c r="G17" s="71">
        <v>2.0</v>
      </c>
      <c r="H17" s="71">
        <v>10.0</v>
      </c>
      <c r="I17" s="71">
        <v>15.0</v>
      </c>
      <c r="J17" s="71">
        <v>3.0</v>
      </c>
      <c r="K17" s="71">
        <v>2.0</v>
      </c>
      <c r="L17" s="71">
        <v>150.0</v>
      </c>
      <c r="M17" s="71" t="s">
        <v>505</v>
      </c>
      <c r="N17" s="71" t="s">
        <v>371</v>
      </c>
      <c r="O17" s="71" t="s">
        <v>533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2.5" customHeight="1">
      <c r="A18" s="71" t="s">
        <v>531</v>
      </c>
      <c r="B18" s="76">
        <v>1.0</v>
      </c>
      <c r="C18" s="71" t="s">
        <v>223</v>
      </c>
      <c r="D18" s="71" t="s">
        <v>501</v>
      </c>
      <c r="E18" s="71" t="s">
        <v>237</v>
      </c>
      <c r="F18" s="71">
        <v>2.0</v>
      </c>
      <c r="G18" s="71">
        <v>3.0</v>
      </c>
      <c r="H18" s="71">
        <v>10.0</v>
      </c>
      <c r="I18" s="71">
        <v>15.0</v>
      </c>
      <c r="J18" s="71">
        <v>3.0</v>
      </c>
      <c r="K18" s="71">
        <v>2.0</v>
      </c>
      <c r="L18" s="71">
        <v>120.0</v>
      </c>
      <c r="M18" s="71" t="s">
        <v>514</v>
      </c>
      <c r="N18" s="71" t="s">
        <v>371</v>
      </c>
      <c r="O18" s="71" t="s">
        <v>533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2.5" customHeight="1">
      <c r="A19" s="71" t="s">
        <v>531</v>
      </c>
      <c r="B19" s="76">
        <v>1.0</v>
      </c>
      <c r="C19" s="71" t="s">
        <v>223</v>
      </c>
      <c r="D19" s="71" t="s">
        <v>253</v>
      </c>
      <c r="E19" s="71" t="s">
        <v>255</v>
      </c>
      <c r="F19" s="71">
        <v>2.0</v>
      </c>
      <c r="G19" s="71">
        <v>2.0</v>
      </c>
      <c r="H19" s="71">
        <v>10.0</v>
      </c>
      <c r="I19" s="71">
        <v>15.0</v>
      </c>
      <c r="J19" s="71">
        <v>3.0</v>
      </c>
      <c r="K19" s="71">
        <v>2.0</v>
      </c>
      <c r="L19" s="71">
        <v>120.0</v>
      </c>
      <c r="M19" s="71" t="s">
        <v>515</v>
      </c>
      <c r="N19" s="71" t="s">
        <v>371</v>
      </c>
      <c r="O19" s="71" t="s">
        <v>533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2.5" customHeight="1">
      <c r="A20" s="71" t="s">
        <v>531</v>
      </c>
      <c r="B20" s="76">
        <v>1.0</v>
      </c>
      <c r="C20" s="71" t="s">
        <v>265</v>
      </c>
      <c r="D20" s="71" t="s">
        <v>226</v>
      </c>
      <c r="E20" s="71" t="s">
        <v>225</v>
      </c>
      <c r="F20" s="71">
        <v>2.0</v>
      </c>
      <c r="G20" s="71">
        <v>2.0</v>
      </c>
      <c r="H20" s="71">
        <v>8.0</v>
      </c>
      <c r="I20" s="71">
        <v>12.0</v>
      </c>
      <c r="J20" s="71">
        <v>3.0</v>
      </c>
      <c r="K20" s="71">
        <v>2.0</v>
      </c>
      <c r="L20" s="71">
        <v>150.0</v>
      </c>
      <c r="M20" s="71" t="s">
        <v>552</v>
      </c>
      <c r="N20" s="71" t="s">
        <v>371</v>
      </c>
      <c r="O20" s="71" t="s">
        <v>533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2.5" customHeight="1">
      <c r="A21" s="71" t="s">
        <v>531</v>
      </c>
      <c r="B21" s="76">
        <v>1.0</v>
      </c>
      <c r="C21" s="71" t="s">
        <v>265</v>
      </c>
      <c r="D21" s="71" t="s">
        <v>502</v>
      </c>
      <c r="E21" s="71" t="s">
        <v>199</v>
      </c>
      <c r="F21" s="71">
        <v>2.0</v>
      </c>
      <c r="G21" s="71">
        <v>3.0</v>
      </c>
      <c r="H21" s="71">
        <v>8.0</v>
      </c>
      <c r="I21" s="71">
        <v>12.0</v>
      </c>
      <c r="J21" s="71">
        <v>3.0</v>
      </c>
      <c r="K21" s="71">
        <v>2.0</v>
      </c>
      <c r="L21" s="71">
        <v>150.0</v>
      </c>
      <c r="M21" s="71" t="s">
        <v>206</v>
      </c>
      <c r="N21" s="71" t="s">
        <v>371</v>
      </c>
      <c r="O21" s="71" t="s">
        <v>533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2.5" customHeight="1">
      <c r="A22" s="71" t="s">
        <v>531</v>
      </c>
      <c r="B22" s="76">
        <v>1.0</v>
      </c>
      <c r="C22" s="71" t="s">
        <v>265</v>
      </c>
      <c r="D22" s="71" t="s">
        <v>503</v>
      </c>
      <c r="E22" s="71" t="s">
        <v>212</v>
      </c>
      <c r="F22" s="71">
        <v>2.0</v>
      </c>
      <c r="G22" s="71">
        <v>3.0</v>
      </c>
      <c r="H22" s="71">
        <v>8.0</v>
      </c>
      <c r="I22" s="71">
        <v>12.0</v>
      </c>
      <c r="J22" s="71">
        <v>3.0</v>
      </c>
      <c r="K22" s="71">
        <v>2.0</v>
      </c>
      <c r="L22" s="71">
        <v>150.0</v>
      </c>
      <c r="M22" s="71" t="s">
        <v>210</v>
      </c>
      <c r="N22" s="71" t="s">
        <v>371</v>
      </c>
      <c r="O22" s="71" t="s">
        <v>533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2.5" customHeight="1">
      <c r="A23" s="71" t="s">
        <v>531</v>
      </c>
      <c r="B23" s="76">
        <v>1.0</v>
      </c>
      <c r="C23" s="71" t="s">
        <v>265</v>
      </c>
      <c r="D23" s="71" t="s">
        <v>272</v>
      </c>
      <c r="E23" s="71" t="s">
        <v>212</v>
      </c>
      <c r="F23" s="71">
        <v>2.0</v>
      </c>
      <c r="G23" s="71">
        <v>2.0</v>
      </c>
      <c r="H23" s="71">
        <v>8.0</v>
      </c>
      <c r="I23" s="71">
        <v>12.0</v>
      </c>
      <c r="J23" s="71">
        <v>3.0</v>
      </c>
      <c r="K23" s="71">
        <v>2.0</v>
      </c>
      <c r="L23" s="71">
        <v>150.0</v>
      </c>
      <c r="M23" s="71" t="s">
        <v>495</v>
      </c>
      <c r="N23" s="71" t="s">
        <v>371</v>
      </c>
      <c r="O23" s="71" t="s">
        <v>533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2.5" customHeight="1">
      <c r="A24" s="71" t="s">
        <v>531</v>
      </c>
      <c r="B24" s="76">
        <v>1.0</v>
      </c>
      <c r="C24" s="71" t="s">
        <v>265</v>
      </c>
      <c r="D24" s="71" t="s">
        <v>215</v>
      </c>
      <c r="E24" s="71" t="s">
        <v>216</v>
      </c>
      <c r="F24" s="71">
        <v>2.0</v>
      </c>
      <c r="G24" s="71">
        <v>3.0</v>
      </c>
      <c r="H24" s="71">
        <v>12.0</v>
      </c>
      <c r="I24" s="71">
        <v>15.0</v>
      </c>
      <c r="J24" s="71">
        <v>3.0</v>
      </c>
      <c r="K24" s="71">
        <v>2.0</v>
      </c>
      <c r="L24" s="71">
        <v>120.0</v>
      </c>
      <c r="M24" s="71" t="s">
        <v>541</v>
      </c>
      <c r="N24" s="71" t="s">
        <v>371</v>
      </c>
      <c r="O24" s="71" t="s">
        <v>533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2.5" customHeight="1">
      <c r="A25" s="71" t="s">
        <v>531</v>
      </c>
      <c r="B25" s="76">
        <v>1.0</v>
      </c>
      <c r="C25" s="71" t="s">
        <v>265</v>
      </c>
      <c r="D25" s="71" t="s">
        <v>217</v>
      </c>
      <c r="E25" s="71" t="s">
        <v>216</v>
      </c>
      <c r="F25" s="71">
        <v>2.0</v>
      </c>
      <c r="G25" s="71">
        <v>2.0</v>
      </c>
      <c r="H25" s="71">
        <v>12.0</v>
      </c>
      <c r="I25" s="71">
        <v>15.0</v>
      </c>
      <c r="J25" s="71">
        <v>3.0</v>
      </c>
      <c r="K25" s="71">
        <v>2.0</v>
      </c>
      <c r="L25" s="71">
        <v>120.0</v>
      </c>
      <c r="M25" s="71" t="s">
        <v>510</v>
      </c>
      <c r="N25" s="71" t="s">
        <v>371</v>
      </c>
      <c r="O25" s="71" t="s">
        <v>533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2.5" customHeight="1">
      <c r="A26" s="71" t="s">
        <v>531</v>
      </c>
      <c r="B26" s="76">
        <v>1.0</v>
      </c>
      <c r="C26" s="71" t="s">
        <v>265</v>
      </c>
      <c r="D26" s="71" t="s">
        <v>279</v>
      </c>
      <c r="E26" s="71" t="s">
        <v>220</v>
      </c>
      <c r="F26" s="71">
        <v>2.0</v>
      </c>
      <c r="G26" s="71">
        <v>2.0</v>
      </c>
      <c r="H26" s="71">
        <v>10.0</v>
      </c>
      <c r="I26" s="71">
        <v>15.0</v>
      </c>
      <c r="J26" s="71">
        <v>3.0</v>
      </c>
      <c r="K26" s="71">
        <v>2.0</v>
      </c>
      <c r="L26" s="71">
        <v>120.0</v>
      </c>
      <c r="M26" s="71" t="s">
        <v>560</v>
      </c>
      <c r="N26" s="71" t="s">
        <v>371</v>
      </c>
      <c r="O26" s="71" t="s">
        <v>533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2.5" customHeight="1">
      <c r="A27" s="71" t="s">
        <v>531</v>
      </c>
      <c r="B27" s="76">
        <v>1.0</v>
      </c>
      <c r="C27" s="71" t="s">
        <v>265</v>
      </c>
      <c r="D27" s="71" t="s">
        <v>498</v>
      </c>
      <c r="E27" s="71" t="s">
        <v>222</v>
      </c>
      <c r="F27" s="71">
        <v>2.0</v>
      </c>
      <c r="G27" s="71">
        <v>2.0</v>
      </c>
      <c r="H27" s="71">
        <v>10.0</v>
      </c>
      <c r="I27" s="71">
        <v>15.0</v>
      </c>
      <c r="J27" s="71">
        <v>3.0</v>
      </c>
      <c r="K27" s="71">
        <v>2.0</v>
      </c>
      <c r="L27" s="71">
        <v>120.0</v>
      </c>
      <c r="M27" s="71" t="s">
        <v>511</v>
      </c>
      <c r="N27" s="71" t="s">
        <v>371</v>
      </c>
      <c r="O27" s="71" t="s">
        <v>533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2.5" customHeight="1">
      <c r="A28" s="50" t="s">
        <v>562</v>
      </c>
      <c r="B28" s="92">
        <v>46293.0</v>
      </c>
      <c r="C28" s="50" t="s">
        <v>190</v>
      </c>
      <c r="D28" s="50" t="s">
        <v>198</v>
      </c>
      <c r="E28" s="50" t="s">
        <v>199</v>
      </c>
      <c r="F28" s="50">
        <v>2.0</v>
      </c>
      <c r="G28" s="50">
        <v>2.0</v>
      </c>
      <c r="H28" s="50">
        <v>6.0</v>
      </c>
      <c r="I28" s="50">
        <v>10.0</v>
      </c>
      <c r="J28" s="50">
        <v>1.0</v>
      </c>
      <c r="K28" s="50">
        <v>1.0</v>
      </c>
      <c r="L28" s="50">
        <v>150.0</v>
      </c>
      <c r="M28" s="50" t="s">
        <v>206</v>
      </c>
      <c r="N28" s="50" t="s">
        <v>208</v>
      </c>
      <c r="O28" s="50" t="s">
        <v>209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2.5" customHeight="1">
      <c r="A29" s="50" t="s">
        <v>562</v>
      </c>
      <c r="B29" s="92">
        <v>46293.0</v>
      </c>
      <c r="C29" s="50" t="s">
        <v>190</v>
      </c>
      <c r="D29" s="50" t="s">
        <v>210</v>
      </c>
      <c r="E29" s="50" t="s">
        <v>212</v>
      </c>
      <c r="F29" s="50">
        <v>2.0</v>
      </c>
      <c r="G29" s="50">
        <v>2.0</v>
      </c>
      <c r="H29" s="50">
        <v>6.0</v>
      </c>
      <c r="I29" s="50">
        <v>10.0</v>
      </c>
      <c r="J29" s="50">
        <v>1.0</v>
      </c>
      <c r="K29" s="50">
        <v>1.0</v>
      </c>
      <c r="L29" s="50">
        <v>150.0</v>
      </c>
      <c r="M29" s="71"/>
      <c r="N29" s="50" t="s">
        <v>208</v>
      </c>
      <c r="O29" s="50" t="s">
        <v>209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2.5" customHeight="1">
      <c r="A30" s="50" t="s">
        <v>562</v>
      </c>
      <c r="B30" s="92">
        <v>46293.0</v>
      </c>
      <c r="C30" s="50" t="s">
        <v>190</v>
      </c>
      <c r="D30" s="50" t="s">
        <v>213</v>
      </c>
      <c r="E30" s="50" t="s">
        <v>212</v>
      </c>
      <c r="F30" s="50">
        <v>2.0</v>
      </c>
      <c r="G30" s="50">
        <v>2.0</v>
      </c>
      <c r="H30" s="50">
        <v>6.0</v>
      </c>
      <c r="I30" s="50">
        <v>10.0</v>
      </c>
      <c r="J30" s="50">
        <v>1.0</v>
      </c>
      <c r="K30" s="50">
        <v>1.0</v>
      </c>
      <c r="L30" s="50">
        <v>150.0</v>
      </c>
      <c r="M30" s="71"/>
      <c r="N30" s="50" t="s">
        <v>208</v>
      </c>
      <c r="O30" s="50" t="s">
        <v>209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2.5" customHeight="1">
      <c r="A31" s="50" t="s">
        <v>562</v>
      </c>
      <c r="B31" s="92">
        <v>46293.0</v>
      </c>
      <c r="C31" s="50" t="s">
        <v>190</v>
      </c>
      <c r="D31" s="50" t="s">
        <v>214</v>
      </c>
      <c r="E31" s="50" t="s">
        <v>199</v>
      </c>
      <c r="F31" s="50">
        <v>2.0</v>
      </c>
      <c r="G31" s="50">
        <v>2.0</v>
      </c>
      <c r="H31" s="50">
        <v>6.0</v>
      </c>
      <c r="I31" s="50">
        <v>10.0</v>
      </c>
      <c r="J31" s="50">
        <v>1.0</v>
      </c>
      <c r="K31" s="50">
        <v>1.0</v>
      </c>
      <c r="L31" s="50">
        <v>150.0</v>
      </c>
      <c r="M31" s="71"/>
      <c r="N31" s="50" t="s">
        <v>208</v>
      </c>
      <c r="O31" s="50" t="s">
        <v>209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2.5" customHeight="1">
      <c r="A32" s="50" t="s">
        <v>562</v>
      </c>
      <c r="B32" s="92">
        <v>46293.0</v>
      </c>
      <c r="C32" s="50" t="s">
        <v>190</v>
      </c>
      <c r="D32" s="50" t="s">
        <v>215</v>
      </c>
      <c r="E32" s="50" t="s">
        <v>216</v>
      </c>
      <c r="F32" s="50">
        <v>2.0</v>
      </c>
      <c r="G32" s="50">
        <v>2.0</v>
      </c>
      <c r="H32" s="50">
        <v>6.0</v>
      </c>
      <c r="I32" s="50">
        <v>10.0</v>
      </c>
      <c r="J32" s="50">
        <v>1.0</v>
      </c>
      <c r="K32" s="50">
        <v>1.0</v>
      </c>
      <c r="L32" s="50">
        <v>120.0</v>
      </c>
      <c r="M32" s="71"/>
      <c r="N32" s="50" t="s">
        <v>208</v>
      </c>
      <c r="O32" s="50" t="s">
        <v>209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2.5" customHeight="1">
      <c r="A33" s="50" t="s">
        <v>562</v>
      </c>
      <c r="B33" s="92">
        <v>46293.0</v>
      </c>
      <c r="C33" s="50" t="s">
        <v>190</v>
      </c>
      <c r="D33" s="50" t="s">
        <v>217</v>
      </c>
      <c r="E33" s="50" t="s">
        <v>216</v>
      </c>
      <c r="F33" s="50">
        <v>2.0</v>
      </c>
      <c r="G33" s="50">
        <v>2.0</v>
      </c>
      <c r="H33" s="50">
        <v>6.0</v>
      </c>
      <c r="I33" s="50">
        <v>10.0</v>
      </c>
      <c r="J33" s="50">
        <v>1.0</v>
      </c>
      <c r="K33" s="50">
        <v>1.0</v>
      </c>
      <c r="L33" s="50">
        <v>120.0</v>
      </c>
      <c r="M33" s="50" t="s">
        <v>218</v>
      </c>
      <c r="N33" s="50" t="s">
        <v>208</v>
      </c>
      <c r="O33" s="50" t="s">
        <v>209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2.5" customHeight="1">
      <c r="A34" s="50" t="s">
        <v>562</v>
      </c>
      <c r="B34" s="92">
        <v>46293.0</v>
      </c>
      <c r="C34" s="50" t="s">
        <v>190</v>
      </c>
      <c r="D34" s="50" t="s">
        <v>219</v>
      </c>
      <c r="E34" s="50" t="s">
        <v>220</v>
      </c>
      <c r="F34" s="50">
        <v>2.0</v>
      </c>
      <c r="G34" s="50">
        <v>2.0</v>
      </c>
      <c r="H34" s="50">
        <v>6.0</v>
      </c>
      <c r="I34" s="50">
        <v>10.0</v>
      </c>
      <c r="J34" s="50">
        <v>1.0</v>
      </c>
      <c r="K34" s="50">
        <v>1.0</v>
      </c>
      <c r="L34" s="50">
        <v>120.0</v>
      </c>
      <c r="M34" s="71"/>
      <c r="N34" s="50" t="s">
        <v>208</v>
      </c>
      <c r="O34" s="50" t="s">
        <v>209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2.5" customHeight="1">
      <c r="A35" s="50" t="s">
        <v>562</v>
      </c>
      <c r="B35" s="92">
        <v>46293.0</v>
      </c>
      <c r="C35" s="50" t="s">
        <v>190</v>
      </c>
      <c r="D35" s="50" t="s">
        <v>221</v>
      </c>
      <c r="E35" s="50" t="s">
        <v>222</v>
      </c>
      <c r="F35" s="50">
        <v>2.0</v>
      </c>
      <c r="G35" s="50">
        <v>2.0</v>
      </c>
      <c r="H35" s="50">
        <v>6.0</v>
      </c>
      <c r="I35" s="50">
        <v>10.0</v>
      </c>
      <c r="J35" s="50">
        <v>1.0</v>
      </c>
      <c r="K35" s="50">
        <v>1.0</v>
      </c>
      <c r="L35" s="50">
        <v>120.0</v>
      </c>
      <c r="M35" s="71"/>
      <c r="N35" s="50" t="s">
        <v>208</v>
      </c>
      <c r="O35" s="50" t="s">
        <v>209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2.5" customHeight="1">
      <c r="A36" s="50" t="s">
        <v>562</v>
      </c>
      <c r="B36" s="92">
        <v>46293.0</v>
      </c>
      <c r="C36" s="50" t="s">
        <v>223</v>
      </c>
      <c r="D36" s="50" t="s">
        <v>224</v>
      </c>
      <c r="E36" s="50" t="s">
        <v>225</v>
      </c>
      <c r="F36" s="50">
        <v>2.0</v>
      </c>
      <c r="G36" s="50">
        <v>2.0</v>
      </c>
      <c r="H36" s="50">
        <v>6.0</v>
      </c>
      <c r="I36" s="50">
        <v>10.0</v>
      </c>
      <c r="J36" s="50">
        <v>1.0</v>
      </c>
      <c r="K36" s="50">
        <v>1.0</v>
      </c>
      <c r="L36" s="50">
        <v>150.0</v>
      </c>
      <c r="M36" s="71"/>
      <c r="N36" s="50" t="s">
        <v>208</v>
      </c>
      <c r="O36" s="50" t="s">
        <v>209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2.5" customHeight="1">
      <c r="A37" s="50" t="s">
        <v>562</v>
      </c>
      <c r="B37" s="92">
        <v>46293.0</v>
      </c>
      <c r="C37" s="50" t="s">
        <v>223</v>
      </c>
      <c r="D37" s="50" t="s">
        <v>226</v>
      </c>
      <c r="E37" s="50" t="s">
        <v>225</v>
      </c>
      <c r="F37" s="50">
        <v>2.0</v>
      </c>
      <c r="G37" s="50">
        <v>2.0</v>
      </c>
      <c r="H37" s="50">
        <v>6.0</v>
      </c>
      <c r="I37" s="50">
        <v>10.0</v>
      </c>
      <c r="J37" s="50">
        <v>1.0</v>
      </c>
      <c r="K37" s="50">
        <v>1.0</v>
      </c>
      <c r="L37" s="50">
        <v>150.0</v>
      </c>
      <c r="M37" s="71"/>
      <c r="N37" s="50" t="s">
        <v>208</v>
      </c>
      <c r="O37" s="50" t="s">
        <v>209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2.5" customHeight="1">
      <c r="A38" s="50" t="s">
        <v>562</v>
      </c>
      <c r="B38" s="92">
        <v>46293.0</v>
      </c>
      <c r="C38" s="50" t="s">
        <v>223</v>
      </c>
      <c r="D38" s="50" t="s">
        <v>227</v>
      </c>
      <c r="E38" s="50" t="s">
        <v>228</v>
      </c>
      <c r="F38" s="50">
        <v>2.0</v>
      </c>
      <c r="G38" s="50">
        <v>2.0</v>
      </c>
      <c r="H38" s="50">
        <v>6.0</v>
      </c>
      <c r="I38" s="50">
        <v>10.0</v>
      </c>
      <c r="J38" s="50">
        <v>1.0</v>
      </c>
      <c r="K38" s="50">
        <v>1.0</v>
      </c>
      <c r="L38" s="50">
        <v>150.0</v>
      </c>
      <c r="M38" s="71"/>
      <c r="N38" s="50" t="s">
        <v>208</v>
      </c>
      <c r="O38" s="50" t="s">
        <v>209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2.5" customHeight="1">
      <c r="A39" s="50" t="s">
        <v>562</v>
      </c>
      <c r="B39" s="92">
        <v>46293.0</v>
      </c>
      <c r="C39" s="50" t="s">
        <v>223</v>
      </c>
      <c r="D39" s="50" t="s">
        <v>235</v>
      </c>
      <c r="E39" s="50" t="s">
        <v>228</v>
      </c>
      <c r="F39" s="50">
        <v>2.0</v>
      </c>
      <c r="G39" s="50">
        <v>2.0</v>
      </c>
      <c r="H39" s="50">
        <v>6.0</v>
      </c>
      <c r="I39" s="50">
        <v>10.0</v>
      </c>
      <c r="J39" s="50">
        <v>1.0</v>
      </c>
      <c r="K39" s="50">
        <v>1.0</v>
      </c>
      <c r="L39" s="50">
        <v>150.0</v>
      </c>
      <c r="M39" s="71"/>
      <c r="N39" s="50" t="s">
        <v>208</v>
      </c>
      <c r="O39" s="50" t="s">
        <v>209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22.5" customHeight="1">
      <c r="A40" s="50" t="s">
        <v>562</v>
      </c>
      <c r="B40" s="92">
        <v>46293.0</v>
      </c>
      <c r="C40" s="50" t="s">
        <v>223</v>
      </c>
      <c r="D40" s="50" t="s">
        <v>236</v>
      </c>
      <c r="E40" s="50" t="s">
        <v>237</v>
      </c>
      <c r="F40" s="50">
        <v>2.0</v>
      </c>
      <c r="G40" s="50">
        <v>2.0</v>
      </c>
      <c r="H40" s="50">
        <v>6.0</v>
      </c>
      <c r="I40" s="50">
        <v>10.0</v>
      </c>
      <c r="J40" s="50">
        <v>1.0</v>
      </c>
      <c r="K40" s="50">
        <v>1.0</v>
      </c>
      <c r="L40" s="50">
        <v>120.0</v>
      </c>
      <c r="M40" s="50" t="s">
        <v>242</v>
      </c>
      <c r="N40" s="50" t="s">
        <v>208</v>
      </c>
      <c r="O40" s="50" t="s">
        <v>209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22.5" customHeight="1">
      <c r="A41" s="50" t="s">
        <v>562</v>
      </c>
      <c r="B41" s="92">
        <v>46293.0</v>
      </c>
      <c r="C41" s="50" t="s">
        <v>223</v>
      </c>
      <c r="D41" s="50" t="s">
        <v>253</v>
      </c>
      <c r="E41" s="50" t="s">
        <v>255</v>
      </c>
      <c r="F41" s="50">
        <v>2.0</v>
      </c>
      <c r="G41" s="50">
        <v>2.0</v>
      </c>
      <c r="H41" s="50">
        <v>6.0</v>
      </c>
      <c r="I41" s="50">
        <v>10.0</v>
      </c>
      <c r="J41" s="50">
        <v>1.0</v>
      </c>
      <c r="K41" s="50">
        <v>1.0</v>
      </c>
      <c r="L41" s="50">
        <v>120.0</v>
      </c>
      <c r="M41" s="71"/>
      <c r="N41" s="50" t="s">
        <v>208</v>
      </c>
      <c r="O41" s="50" t="s">
        <v>209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22.5" customHeight="1">
      <c r="A42" s="50" t="s">
        <v>562</v>
      </c>
      <c r="B42" s="92">
        <v>46293.0</v>
      </c>
      <c r="C42" s="50" t="s">
        <v>265</v>
      </c>
      <c r="D42" s="50" t="s">
        <v>226</v>
      </c>
      <c r="E42" s="50" t="s">
        <v>225</v>
      </c>
      <c r="F42" s="50">
        <v>2.0</v>
      </c>
      <c r="G42" s="50">
        <v>2.0</v>
      </c>
      <c r="H42" s="50">
        <v>6.0</v>
      </c>
      <c r="I42" s="50">
        <v>10.0</v>
      </c>
      <c r="J42" s="50">
        <v>1.0</v>
      </c>
      <c r="K42" s="50">
        <v>1.0</v>
      </c>
      <c r="L42" s="50">
        <v>150.0</v>
      </c>
      <c r="M42" s="71"/>
      <c r="N42" s="50" t="s">
        <v>208</v>
      </c>
      <c r="O42" s="50" t="s">
        <v>209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22.5" customHeight="1">
      <c r="A43" s="50" t="s">
        <v>562</v>
      </c>
      <c r="B43" s="92">
        <v>46293.0</v>
      </c>
      <c r="C43" s="50" t="s">
        <v>265</v>
      </c>
      <c r="D43" s="50" t="s">
        <v>268</v>
      </c>
      <c r="E43" s="50" t="s">
        <v>199</v>
      </c>
      <c r="F43" s="50">
        <v>2.0</v>
      </c>
      <c r="G43" s="50">
        <v>2.0</v>
      </c>
      <c r="H43" s="50">
        <v>6.0</v>
      </c>
      <c r="I43" s="50">
        <v>10.0</v>
      </c>
      <c r="J43" s="50">
        <v>1.0</v>
      </c>
      <c r="K43" s="50">
        <v>1.0</v>
      </c>
      <c r="L43" s="50">
        <v>150.0</v>
      </c>
      <c r="M43" s="71"/>
      <c r="N43" s="50" t="s">
        <v>208</v>
      </c>
      <c r="O43" s="50" t="s">
        <v>209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22.5" customHeight="1">
      <c r="A44" s="50" t="s">
        <v>562</v>
      </c>
      <c r="B44" s="92">
        <v>46293.0</v>
      </c>
      <c r="C44" s="50" t="s">
        <v>265</v>
      </c>
      <c r="D44" s="50" t="s">
        <v>210</v>
      </c>
      <c r="E44" s="50" t="s">
        <v>212</v>
      </c>
      <c r="F44" s="50">
        <v>2.0</v>
      </c>
      <c r="G44" s="50">
        <v>2.0</v>
      </c>
      <c r="H44" s="50">
        <v>6.0</v>
      </c>
      <c r="I44" s="50">
        <v>10.0</v>
      </c>
      <c r="J44" s="50">
        <v>1.0</v>
      </c>
      <c r="K44" s="50">
        <v>1.0</v>
      </c>
      <c r="L44" s="50">
        <v>150.0</v>
      </c>
      <c r="M44" s="71"/>
      <c r="N44" s="50" t="s">
        <v>208</v>
      </c>
      <c r="O44" s="50" t="s">
        <v>209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22.5" customHeight="1">
      <c r="A45" s="50" t="s">
        <v>562</v>
      </c>
      <c r="B45" s="92">
        <v>46293.0</v>
      </c>
      <c r="C45" s="50" t="s">
        <v>265</v>
      </c>
      <c r="D45" s="50" t="s">
        <v>272</v>
      </c>
      <c r="E45" s="50" t="s">
        <v>212</v>
      </c>
      <c r="F45" s="50">
        <v>2.0</v>
      </c>
      <c r="G45" s="50">
        <v>2.0</v>
      </c>
      <c r="H45" s="50">
        <v>6.0</v>
      </c>
      <c r="I45" s="50">
        <v>10.0</v>
      </c>
      <c r="J45" s="50">
        <v>1.0</v>
      </c>
      <c r="K45" s="50">
        <v>1.0</v>
      </c>
      <c r="L45" s="50">
        <v>150.0</v>
      </c>
      <c r="M45" s="50" t="s">
        <v>275</v>
      </c>
      <c r="N45" s="50" t="s">
        <v>208</v>
      </c>
      <c r="O45" s="50" t="s">
        <v>209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22.5" customHeight="1">
      <c r="A46" s="50" t="s">
        <v>562</v>
      </c>
      <c r="B46" s="92">
        <v>46293.0</v>
      </c>
      <c r="C46" s="50" t="s">
        <v>265</v>
      </c>
      <c r="D46" s="50" t="s">
        <v>215</v>
      </c>
      <c r="E46" s="50" t="s">
        <v>216</v>
      </c>
      <c r="F46" s="50">
        <v>2.0</v>
      </c>
      <c r="G46" s="50">
        <v>2.0</v>
      </c>
      <c r="H46" s="50">
        <v>6.0</v>
      </c>
      <c r="I46" s="50">
        <v>10.0</v>
      </c>
      <c r="J46" s="50">
        <v>1.0</v>
      </c>
      <c r="K46" s="50">
        <v>1.0</v>
      </c>
      <c r="L46" s="50">
        <v>120.0</v>
      </c>
      <c r="M46" s="71"/>
      <c r="N46" s="50" t="s">
        <v>208</v>
      </c>
      <c r="O46" s="50" t="s">
        <v>209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2.5" customHeight="1">
      <c r="A47" s="50" t="s">
        <v>562</v>
      </c>
      <c r="B47" s="92">
        <v>46293.0</v>
      </c>
      <c r="C47" s="50" t="s">
        <v>265</v>
      </c>
      <c r="D47" s="50" t="s">
        <v>217</v>
      </c>
      <c r="E47" s="50" t="s">
        <v>216</v>
      </c>
      <c r="F47" s="50">
        <v>2.0</v>
      </c>
      <c r="G47" s="50">
        <v>2.0</v>
      </c>
      <c r="H47" s="50">
        <v>6.0</v>
      </c>
      <c r="I47" s="50">
        <v>10.0</v>
      </c>
      <c r="J47" s="50">
        <v>1.0</v>
      </c>
      <c r="K47" s="50">
        <v>1.0</v>
      </c>
      <c r="L47" s="50">
        <v>120.0</v>
      </c>
      <c r="M47" s="50" t="s">
        <v>218</v>
      </c>
      <c r="N47" s="50" t="s">
        <v>208</v>
      </c>
      <c r="O47" s="50" t="s">
        <v>209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2.5" customHeight="1">
      <c r="A48" s="50" t="s">
        <v>562</v>
      </c>
      <c r="B48" s="92">
        <v>46293.0</v>
      </c>
      <c r="C48" s="50" t="s">
        <v>265</v>
      </c>
      <c r="D48" s="50" t="s">
        <v>279</v>
      </c>
      <c r="E48" s="50" t="s">
        <v>220</v>
      </c>
      <c r="F48" s="50">
        <v>2.0</v>
      </c>
      <c r="G48" s="50">
        <v>2.0</v>
      </c>
      <c r="H48" s="50">
        <v>6.0</v>
      </c>
      <c r="I48" s="50">
        <v>10.0</v>
      </c>
      <c r="J48" s="50">
        <v>1.0</v>
      </c>
      <c r="K48" s="50">
        <v>1.0</v>
      </c>
      <c r="L48" s="50">
        <v>120.0</v>
      </c>
      <c r="M48" s="71"/>
      <c r="N48" s="50" t="s">
        <v>208</v>
      </c>
      <c r="O48" s="50" t="s">
        <v>209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2.5" customHeight="1">
      <c r="A49" s="50" t="s">
        <v>562</v>
      </c>
      <c r="B49" s="92">
        <v>46293.0</v>
      </c>
      <c r="C49" s="50" t="s">
        <v>265</v>
      </c>
      <c r="D49" s="50" t="s">
        <v>221</v>
      </c>
      <c r="E49" s="50" t="s">
        <v>222</v>
      </c>
      <c r="F49" s="50">
        <v>2.0</v>
      </c>
      <c r="G49" s="50">
        <v>2.0</v>
      </c>
      <c r="H49" s="50">
        <v>6.0</v>
      </c>
      <c r="I49" s="50">
        <v>10.0</v>
      </c>
      <c r="J49" s="50">
        <v>1.0</v>
      </c>
      <c r="K49" s="50">
        <v>1.0</v>
      </c>
      <c r="L49" s="50">
        <v>120.0</v>
      </c>
      <c r="M49" s="71"/>
      <c r="N49" s="50" t="s">
        <v>208</v>
      </c>
      <c r="O49" s="50" t="s">
        <v>209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4C1E5E0C-D3B0-4F12-847E-16434837405D}" filter="1" showAutoFilter="1">
      <autoFilter ref="$A$5:$O$4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4.0"/>
    <col customWidth="1" min="2" max="2" width="15.0"/>
    <col customWidth="1" min="3" max="3" width="14.0"/>
    <col customWidth="1" min="4" max="4" width="16.0"/>
    <col customWidth="1" min="5" max="5" width="18.0"/>
    <col customWidth="1" min="6" max="6" width="16.0"/>
    <col customWidth="1" min="7" max="7" width="14.0"/>
    <col customWidth="1" min="8" max="8" width="75.0"/>
    <col customWidth="1" min="9" max="28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2.5" customHeight="1">
      <c r="A2" s="39" t="s">
        <v>546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2.5" customHeight="1">
      <c r="A3" s="22" t="s">
        <v>548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9.75" customHeight="1">
      <c r="A5" s="68" t="s">
        <v>77</v>
      </c>
      <c r="B5" s="68" t="s">
        <v>102</v>
      </c>
      <c r="C5" s="68" t="s">
        <v>116</v>
      </c>
      <c r="D5" s="68" t="s">
        <v>157</v>
      </c>
      <c r="E5" s="68" t="s">
        <v>231</v>
      </c>
      <c r="F5" s="68" t="s">
        <v>161</v>
      </c>
      <c r="G5" s="68" t="s">
        <v>232</v>
      </c>
      <c r="H5" s="68" t="s">
        <v>141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2.5" customHeight="1">
      <c r="A6" s="71"/>
      <c r="B6" s="71"/>
      <c r="C6" s="71"/>
      <c r="D6" s="71"/>
      <c r="E6" s="71"/>
      <c r="F6" s="71"/>
      <c r="G6" s="71"/>
      <c r="H6" s="7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2.5" customHeight="1">
      <c r="A7" s="71"/>
      <c r="B7" s="71"/>
      <c r="C7" s="71"/>
      <c r="D7" s="71"/>
      <c r="E7" s="71"/>
      <c r="F7" s="71"/>
      <c r="G7" s="71"/>
      <c r="H7" s="7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2.5" customHeight="1">
      <c r="A8" s="71"/>
      <c r="B8" s="71"/>
      <c r="C8" s="71"/>
      <c r="D8" s="71"/>
      <c r="E8" s="71"/>
      <c r="F8" s="71"/>
      <c r="G8" s="71"/>
      <c r="H8" s="7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2.5" customHeight="1">
      <c r="A9" s="71"/>
      <c r="B9" s="71"/>
      <c r="C9" s="71"/>
      <c r="D9" s="71"/>
      <c r="E9" s="71"/>
      <c r="F9" s="71"/>
      <c r="G9" s="71"/>
      <c r="H9" s="7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2.5" customHeight="1">
      <c r="A10" s="71"/>
      <c r="B10" s="71"/>
      <c r="C10" s="71"/>
      <c r="D10" s="71"/>
      <c r="E10" s="71"/>
      <c r="F10" s="71"/>
      <c r="G10" s="71"/>
      <c r="H10" s="7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2.5" customHeight="1">
      <c r="A11" s="71"/>
      <c r="B11" s="71"/>
      <c r="C11" s="71"/>
      <c r="D11" s="71"/>
      <c r="E11" s="71"/>
      <c r="F11" s="71"/>
      <c r="G11" s="71"/>
      <c r="H11" s="7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22.5" customHeight="1">
      <c r="A12" s="66"/>
      <c r="B12" s="66"/>
      <c r="C12" s="50"/>
      <c r="D12" s="50"/>
      <c r="E12" s="50"/>
      <c r="F12" s="50"/>
      <c r="G12" s="50"/>
      <c r="H12" s="6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2.5" customHeight="1">
      <c r="A13" s="66"/>
      <c r="B13" s="66"/>
      <c r="C13" s="50"/>
      <c r="D13" s="50"/>
      <c r="E13" s="50"/>
      <c r="F13" s="50"/>
      <c r="G13" s="50"/>
      <c r="H13" s="6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2.5" customHeight="1">
      <c r="A14" s="71"/>
      <c r="B14" s="71"/>
      <c r="C14" s="71"/>
      <c r="D14" s="71"/>
      <c r="E14" s="71"/>
      <c r="F14" s="71"/>
      <c r="G14" s="71"/>
      <c r="H14" s="7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2.5" customHeight="1">
      <c r="A15" s="71"/>
      <c r="B15" s="71"/>
      <c r="C15" s="71"/>
      <c r="D15" s="71"/>
      <c r="E15" s="71"/>
      <c r="F15" s="71"/>
      <c r="G15" s="71"/>
      <c r="H15" s="7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2.5" customHeight="1">
      <c r="A16" s="71"/>
      <c r="B16" s="71"/>
      <c r="C16" s="71"/>
      <c r="D16" s="71"/>
      <c r="E16" s="71"/>
      <c r="F16" s="71"/>
      <c r="G16" s="71"/>
      <c r="H16" s="7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2.5" customHeight="1">
      <c r="A17" s="71"/>
      <c r="B17" s="71"/>
      <c r="C17" s="71"/>
      <c r="D17" s="71"/>
      <c r="E17" s="71"/>
      <c r="F17" s="71"/>
      <c r="G17" s="71"/>
      <c r="H17" s="7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2.5" customHeight="1">
      <c r="A18" s="71"/>
      <c r="B18" s="71"/>
      <c r="C18" s="71"/>
      <c r="D18" s="71"/>
      <c r="E18" s="71"/>
      <c r="F18" s="71"/>
      <c r="G18" s="71"/>
      <c r="H18" s="7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2.5" customHeight="1">
      <c r="A19" s="71"/>
      <c r="B19" s="71"/>
      <c r="C19" s="71"/>
      <c r="D19" s="71"/>
      <c r="E19" s="71"/>
      <c r="F19" s="71"/>
      <c r="G19" s="71"/>
      <c r="H19" s="7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2.5" customHeight="1">
      <c r="A20" s="71"/>
      <c r="B20" s="71"/>
      <c r="C20" s="71"/>
      <c r="D20" s="71"/>
      <c r="E20" s="71"/>
      <c r="F20" s="71"/>
      <c r="G20" s="71"/>
      <c r="H20" s="7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2.5" customHeight="1">
      <c r="A21" s="71"/>
      <c r="B21" s="71"/>
      <c r="C21" s="71"/>
      <c r="D21" s="71"/>
      <c r="E21" s="71"/>
      <c r="F21" s="71"/>
      <c r="G21" s="71"/>
      <c r="H21" s="7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2.5" customHeight="1">
      <c r="A22" s="71"/>
      <c r="B22" s="71"/>
      <c r="C22" s="71"/>
      <c r="D22" s="71"/>
      <c r="E22" s="71"/>
      <c r="F22" s="71"/>
      <c r="G22" s="71"/>
      <c r="H22" s="7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2.5" customHeight="1">
      <c r="A23" s="71"/>
      <c r="B23" s="71"/>
      <c r="C23" s="71"/>
      <c r="D23" s="71"/>
      <c r="E23" s="71"/>
      <c r="F23" s="71"/>
      <c r="G23" s="71"/>
      <c r="H23" s="7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2.5" customHeight="1">
      <c r="A24" s="71"/>
      <c r="B24" s="71"/>
      <c r="C24" s="71"/>
      <c r="D24" s="71"/>
      <c r="E24" s="71"/>
      <c r="F24" s="71"/>
      <c r="G24" s="71"/>
      <c r="H24" s="7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2.5" customHeight="1">
      <c r="A25" s="71"/>
      <c r="B25" s="71"/>
      <c r="C25" s="71"/>
      <c r="D25" s="71"/>
      <c r="E25" s="71"/>
      <c r="F25" s="71"/>
      <c r="G25" s="71"/>
      <c r="H25" s="7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2.5" customHeight="1">
      <c r="A26" s="71"/>
      <c r="B26" s="71"/>
      <c r="C26" s="71"/>
      <c r="D26" s="71"/>
      <c r="E26" s="71"/>
      <c r="F26" s="71"/>
      <c r="G26" s="71"/>
      <c r="H26" s="7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2.5" customHeight="1">
      <c r="A27" s="71"/>
      <c r="B27" s="71"/>
      <c r="C27" s="71"/>
      <c r="D27" s="71"/>
      <c r="E27" s="71"/>
      <c r="F27" s="71"/>
      <c r="G27" s="71"/>
      <c r="H27" s="7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2.5" customHeight="1">
      <c r="A28" s="71"/>
      <c r="B28" s="71"/>
      <c r="C28" s="71"/>
      <c r="D28" s="71"/>
      <c r="E28" s="71"/>
      <c r="F28" s="71"/>
      <c r="G28" s="71"/>
      <c r="H28" s="7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2.5" customHeight="1">
      <c r="A29" s="71"/>
      <c r="B29" s="71"/>
      <c r="C29" s="71"/>
      <c r="D29" s="71"/>
      <c r="E29" s="71"/>
      <c r="F29" s="71"/>
      <c r="G29" s="71"/>
      <c r="H29" s="7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2.5" customHeight="1">
      <c r="A30" s="71"/>
      <c r="B30" s="71"/>
      <c r="C30" s="71"/>
      <c r="D30" s="71"/>
      <c r="E30" s="71"/>
      <c r="F30" s="71"/>
      <c r="G30" s="71"/>
      <c r="H30" s="7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2.5" customHeight="1">
      <c r="A31" s="71"/>
      <c r="B31" s="71"/>
      <c r="C31" s="71"/>
      <c r="D31" s="71"/>
      <c r="E31" s="71"/>
      <c r="F31" s="71"/>
      <c r="G31" s="71"/>
      <c r="H31" s="7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2.5" customHeight="1">
      <c r="A32" s="71"/>
      <c r="B32" s="71"/>
      <c r="C32" s="71"/>
      <c r="D32" s="71"/>
      <c r="E32" s="71"/>
      <c r="F32" s="71"/>
      <c r="G32" s="71"/>
      <c r="H32" s="7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2.5" customHeight="1">
      <c r="A33" s="71"/>
      <c r="B33" s="71"/>
      <c r="C33" s="71"/>
      <c r="D33" s="71"/>
      <c r="E33" s="71"/>
      <c r="F33" s="71"/>
      <c r="G33" s="71"/>
      <c r="H33" s="7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2.5" customHeight="1">
      <c r="A34" s="71"/>
      <c r="B34" s="71"/>
      <c r="C34" s="71"/>
      <c r="D34" s="71"/>
      <c r="E34" s="71"/>
      <c r="F34" s="71"/>
      <c r="G34" s="71"/>
      <c r="H34" s="7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2.5" customHeight="1">
      <c r="A35" s="71"/>
      <c r="B35" s="71"/>
      <c r="C35" s="71"/>
      <c r="D35" s="71"/>
      <c r="E35" s="71"/>
      <c r="F35" s="71"/>
      <c r="G35" s="71"/>
      <c r="H35" s="7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2.5" customHeight="1">
      <c r="A36" s="71"/>
      <c r="B36" s="71"/>
      <c r="C36" s="71"/>
      <c r="D36" s="71"/>
      <c r="E36" s="71"/>
      <c r="F36" s="71"/>
      <c r="G36" s="71"/>
      <c r="H36" s="7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22.5" customHeight="1">
      <c r="A37" s="71"/>
      <c r="B37" s="71"/>
      <c r="C37" s="71"/>
      <c r="D37" s="71"/>
      <c r="E37" s="71"/>
      <c r="F37" s="71"/>
      <c r="G37" s="71"/>
      <c r="H37" s="7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22.5" customHeight="1">
      <c r="A38" s="71"/>
      <c r="B38" s="71"/>
      <c r="C38" s="71"/>
      <c r="D38" s="71"/>
      <c r="E38" s="71"/>
      <c r="F38" s="71"/>
      <c r="G38" s="71"/>
      <c r="H38" s="7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22.5" customHeight="1">
      <c r="A39" s="71"/>
      <c r="B39" s="71"/>
      <c r="C39" s="71"/>
      <c r="D39" s="71"/>
      <c r="E39" s="71"/>
      <c r="F39" s="71"/>
      <c r="G39" s="71"/>
      <c r="H39" s="7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2.5" customHeight="1">
      <c r="A40" s="71"/>
      <c r="B40" s="71"/>
      <c r="C40" s="71"/>
      <c r="D40" s="71"/>
      <c r="E40" s="71"/>
      <c r="F40" s="71"/>
      <c r="G40" s="71"/>
      <c r="H40" s="7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22.5" customHeight="1">
      <c r="A41" s="71"/>
      <c r="B41" s="71"/>
      <c r="C41" s="71"/>
      <c r="D41" s="71"/>
      <c r="E41" s="71"/>
      <c r="F41" s="71"/>
      <c r="G41" s="71"/>
      <c r="H41" s="7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22.5" customHeight="1">
      <c r="A42" s="71"/>
      <c r="B42" s="71"/>
      <c r="C42" s="71"/>
      <c r="D42" s="71"/>
      <c r="E42" s="71"/>
      <c r="F42" s="71"/>
      <c r="G42" s="71"/>
      <c r="H42" s="7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2.5" customHeight="1">
      <c r="A43" s="71"/>
      <c r="B43" s="71"/>
      <c r="C43" s="71"/>
      <c r="D43" s="71"/>
      <c r="E43" s="71"/>
      <c r="F43" s="71"/>
      <c r="G43" s="71"/>
      <c r="H43" s="7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22.5" customHeight="1">
      <c r="A44" s="71"/>
      <c r="B44" s="71"/>
      <c r="C44" s="71"/>
      <c r="D44" s="71"/>
      <c r="E44" s="71"/>
      <c r="F44" s="71"/>
      <c r="G44" s="71"/>
      <c r="H44" s="7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22.5" customHeight="1">
      <c r="A45" s="71"/>
      <c r="B45" s="71"/>
      <c r="C45" s="71"/>
      <c r="D45" s="71"/>
      <c r="E45" s="71"/>
      <c r="F45" s="71"/>
      <c r="G45" s="71"/>
      <c r="H45" s="7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22.5" customHeight="1">
      <c r="A46" s="71"/>
      <c r="B46" s="71"/>
      <c r="C46" s="71"/>
      <c r="D46" s="71"/>
      <c r="E46" s="71"/>
      <c r="F46" s="71"/>
      <c r="G46" s="71"/>
      <c r="H46" s="7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22.5" customHeight="1">
      <c r="A47" s="71"/>
      <c r="B47" s="71"/>
      <c r="C47" s="71"/>
      <c r="D47" s="71"/>
      <c r="E47" s="71"/>
      <c r="F47" s="71"/>
      <c r="G47" s="71"/>
      <c r="H47" s="7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22.5" customHeight="1">
      <c r="A48" s="71"/>
      <c r="B48" s="71"/>
      <c r="C48" s="71"/>
      <c r="D48" s="71"/>
      <c r="E48" s="71"/>
      <c r="F48" s="71"/>
      <c r="G48" s="71"/>
      <c r="H48" s="7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22.5" customHeight="1">
      <c r="A49" s="71"/>
      <c r="B49" s="71"/>
      <c r="C49" s="71"/>
      <c r="D49" s="71"/>
      <c r="E49" s="71"/>
      <c r="F49" s="71"/>
      <c r="G49" s="71"/>
      <c r="H49" s="7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22.5" customHeight="1">
      <c r="A50" s="71"/>
      <c r="B50" s="71"/>
      <c r="C50" s="71"/>
      <c r="D50" s="71"/>
      <c r="E50" s="71"/>
      <c r="F50" s="71"/>
      <c r="G50" s="71"/>
      <c r="H50" s="7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22.5" customHeight="1">
      <c r="A51" s="71"/>
      <c r="B51" s="71"/>
      <c r="C51" s="71"/>
      <c r="D51" s="71"/>
      <c r="E51" s="71"/>
      <c r="F51" s="71"/>
      <c r="G51" s="71"/>
      <c r="H51" s="7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2.5" customHeight="1">
      <c r="A52" s="71"/>
      <c r="B52" s="71"/>
      <c r="C52" s="71"/>
      <c r="D52" s="71"/>
      <c r="E52" s="71"/>
      <c r="F52" s="71"/>
      <c r="G52" s="71"/>
      <c r="H52" s="7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22.5" customHeight="1">
      <c r="A53" s="71"/>
      <c r="B53" s="71"/>
      <c r="C53" s="71"/>
      <c r="D53" s="71"/>
      <c r="E53" s="71"/>
      <c r="F53" s="71"/>
      <c r="G53" s="71"/>
      <c r="H53" s="7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22.5" customHeight="1">
      <c r="A54" s="71"/>
      <c r="B54" s="71"/>
      <c r="C54" s="71"/>
      <c r="D54" s="71"/>
      <c r="E54" s="71"/>
      <c r="F54" s="71"/>
      <c r="G54" s="71"/>
      <c r="H54" s="7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22.5" customHeight="1">
      <c r="A55" s="71"/>
      <c r="B55" s="71"/>
      <c r="C55" s="71"/>
      <c r="D55" s="71"/>
      <c r="E55" s="71"/>
      <c r="F55" s="71"/>
      <c r="G55" s="71"/>
      <c r="H55" s="7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22.5" customHeight="1">
      <c r="A56" s="71"/>
      <c r="B56" s="71"/>
      <c r="C56" s="71"/>
      <c r="D56" s="71"/>
      <c r="E56" s="71"/>
      <c r="F56" s="71"/>
      <c r="G56" s="71"/>
      <c r="H56" s="7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22.5" customHeight="1">
      <c r="A57" s="71"/>
      <c r="B57" s="71"/>
      <c r="C57" s="71"/>
      <c r="D57" s="71"/>
      <c r="E57" s="71"/>
      <c r="F57" s="71"/>
      <c r="G57" s="71"/>
      <c r="H57" s="7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22.5" customHeight="1">
      <c r="A58" s="71"/>
      <c r="B58" s="71"/>
      <c r="C58" s="71"/>
      <c r="D58" s="71"/>
      <c r="E58" s="71"/>
      <c r="F58" s="71"/>
      <c r="G58" s="71"/>
      <c r="H58" s="7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22.5" customHeight="1">
      <c r="A59" s="71"/>
      <c r="B59" s="71"/>
      <c r="C59" s="71"/>
      <c r="D59" s="71"/>
      <c r="E59" s="71"/>
      <c r="F59" s="71"/>
      <c r="G59" s="71"/>
      <c r="H59" s="7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22.5" customHeight="1">
      <c r="A60" s="71"/>
      <c r="B60" s="71"/>
      <c r="C60" s="71"/>
      <c r="D60" s="71"/>
      <c r="E60" s="71"/>
      <c r="F60" s="71"/>
      <c r="G60" s="71"/>
      <c r="H60" s="7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22.5" customHeight="1">
      <c r="A61" s="71"/>
      <c r="B61" s="71"/>
      <c r="C61" s="71"/>
      <c r="D61" s="71"/>
      <c r="E61" s="71"/>
      <c r="F61" s="71"/>
      <c r="G61" s="71"/>
      <c r="H61" s="7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22.5" customHeight="1">
      <c r="A62" s="71"/>
      <c r="B62" s="71"/>
      <c r="C62" s="71"/>
      <c r="D62" s="71"/>
      <c r="E62" s="71"/>
      <c r="F62" s="71"/>
      <c r="G62" s="71"/>
      <c r="H62" s="7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22.5" customHeight="1">
      <c r="A63" s="71"/>
      <c r="B63" s="71"/>
      <c r="C63" s="71"/>
      <c r="D63" s="71"/>
      <c r="E63" s="71"/>
      <c r="F63" s="71"/>
      <c r="G63" s="71"/>
      <c r="H63" s="7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22.5" customHeight="1">
      <c r="A64" s="71"/>
      <c r="B64" s="71"/>
      <c r="C64" s="71"/>
      <c r="D64" s="71"/>
      <c r="E64" s="71"/>
      <c r="F64" s="71"/>
      <c r="G64" s="71"/>
      <c r="H64" s="7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22.5" customHeight="1">
      <c r="A65" s="71"/>
      <c r="B65" s="71"/>
      <c r="C65" s="71"/>
      <c r="D65" s="71"/>
      <c r="E65" s="71"/>
      <c r="F65" s="71"/>
      <c r="G65" s="71"/>
      <c r="H65" s="7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A407443B-149B-48D8-97A2-C7311BC14693}" filter="1" showAutoFilter="1">
      <autoFilter ref="$A$5:$H$1000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4.0"/>
    <col customWidth="1" min="2" max="2" width="38.0"/>
    <col customWidth="1" min="3" max="3" width="16.0"/>
    <col customWidth="1" min="4" max="5" width="13.0"/>
    <col customWidth="1" min="6" max="6" width="16.0"/>
    <col customWidth="1" min="7" max="7" width="18.0"/>
    <col customWidth="1" min="8" max="8" width="16.0"/>
    <col customWidth="1" min="9" max="9" width="14.0"/>
    <col customWidth="1" min="10" max="10" width="24.0"/>
    <col customWidth="1" min="11" max="30" width="8.63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2.5" customHeight="1">
      <c r="A2" s="39" t="s">
        <v>555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2.5" customHeight="1">
      <c r="A3" s="22" t="s">
        <v>556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39.75" customHeight="1">
      <c r="A5" s="68" t="s">
        <v>77</v>
      </c>
      <c r="B5" s="68" t="s">
        <v>114</v>
      </c>
      <c r="C5" s="68" t="s">
        <v>115</v>
      </c>
      <c r="D5" s="68" t="s">
        <v>112</v>
      </c>
      <c r="E5" s="68" t="s">
        <v>116</v>
      </c>
      <c r="F5" s="68" t="s">
        <v>157</v>
      </c>
      <c r="G5" s="68" t="s">
        <v>231</v>
      </c>
      <c r="H5" s="68" t="s">
        <v>161</v>
      </c>
      <c r="I5" s="68" t="s">
        <v>232</v>
      </c>
      <c r="J5" s="68" t="s">
        <v>262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2.5" customHeight="1">
      <c r="A6" s="71"/>
      <c r="B6" s="66"/>
      <c r="C6" s="71"/>
      <c r="D6" s="71"/>
      <c r="E6" s="50"/>
      <c r="F6" s="50"/>
      <c r="G6" s="50"/>
      <c r="H6" s="50"/>
      <c r="I6" s="71"/>
      <c r="J6" s="7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2.5" customHeight="1">
      <c r="A7" s="71"/>
      <c r="B7" s="71"/>
      <c r="C7" s="71"/>
      <c r="D7" s="71"/>
      <c r="E7" s="71"/>
      <c r="F7" s="71"/>
      <c r="G7" s="71"/>
      <c r="H7" s="71"/>
      <c r="I7" s="71"/>
      <c r="J7" s="7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2.5" customHeight="1">
      <c r="A8" s="71"/>
      <c r="B8" s="66"/>
      <c r="C8" s="71"/>
      <c r="D8" s="71"/>
      <c r="E8" s="50"/>
      <c r="F8" s="50"/>
      <c r="G8" s="50"/>
      <c r="H8" s="50"/>
      <c r="I8" s="71"/>
      <c r="J8" s="7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2.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2.5" customHeight="1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2.5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2.5" customHeight="1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2.5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2.5" customHeigh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2.5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2.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2.5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2.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2.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2.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2.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2.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2.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2.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2.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22.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2.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2.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22.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22.5" customHeight="1">
      <c r="A30" s="66"/>
      <c r="B30" s="66"/>
      <c r="C30" s="50"/>
      <c r="D30" s="66"/>
      <c r="E30" s="50"/>
      <c r="F30" s="50"/>
      <c r="G30" s="50"/>
      <c r="H30" s="50"/>
      <c r="I30" s="50"/>
      <c r="J30" s="6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2.5" customHeight="1">
      <c r="A31" s="66"/>
      <c r="B31" s="66"/>
      <c r="C31" s="50"/>
      <c r="D31" s="66"/>
      <c r="E31" s="50"/>
      <c r="F31" s="50"/>
      <c r="G31" s="50"/>
      <c r="H31" s="50"/>
      <c r="I31" s="50"/>
      <c r="J31" s="6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2.5" customHeight="1">
      <c r="A32" s="66"/>
      <c r="B32" s="66"/>
      <c r="C32" s="50"/>
      <c r="D32" s="66"/>
      <c r="E32" s="50"/>
      <c r="F32" s="50"/>
      <c r="G32" s="50"/>
      <c r="H32" s="50"/>
      <c r="I32" s="50"/>
      <c r="J32" s="6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2.5" customHeight="1">
      <c r="A33" s="66"/>
      <c r="B33" s="66"/>
      <c r="C33" s="50"/>
      <c r="D33" s="66"/>
      <c r="E33" s="50"/>
      <c r="F33" s="50"/>
      <c r="G33" s="50"/>
      <c r="H33" s="50"/>
      <c r="I33" s="50"/>
      <c r="J33" s="6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2.5" customHeight="1">
      <c r="A34" s="66"/>
      <c r="B34" s="66"/>
      <c r="C34" s="50"/>
      <c r="D34" s="66"/>
      <c r="E34" s="50"/>
      <c r="F34" s="50"/>
      <c r="G34" s="50"/>
      <c r="H34" s="50"/>
      <c r="I34" s="50"/>
      <c r="J34" s="6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2.5" customHeight="1">
      <c r="A35" s="66"/>
      <c r="B35" s="66"/>
      <c r="C35" s="50"/>
      <c r="D35" s="66"/>
      <c r="E35" s="50"/>
      <c r="F35" s="50"/>
      <c r="G35" s="50"/>
      <c r="H35" s="50"/>
      <c r="I35" s="50"/>
      <c r="J35" s="6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2.5" customHeight="1">
      <c r="A36" s="66"/>
      <c r="B36" s="66"/>
      <c r="C36" s="50"/>
      <c r="D36" s="66"/>
      <c r="E36" s="50"/>
      <c r="F36" s="50"/>
      <c r="G36" s="50"/>
      <c r="H36" s="50"/>
      <c r="I36" s="50"/>
      <c r="J36" s="6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2.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2.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2.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2.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2.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2.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22.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2.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2.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22.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22.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2.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22.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22.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22.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22.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22.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22.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22.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22.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22.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22.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22.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22.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22.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22.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22.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22.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22.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3.5" customHeight="1">
      <c r="A66" s="95"/>
      <c r="B66" s="95"/>
    </row>
    <row r="67" ht="13.5" customHeight="1">
      <c r="A67" s="95"/>
      <c r="B67" s="95"/>
    </row>
    <row r="68" ht="13.5" customHeight="1">
      <c r="A68" s="95"/>
      <c r="B68" s="95"/>
    </row>
    <row r="69" ht="13.5" customHeight="1">
      <c r="A69" s="95"/>
      <c r="B69" s="95"/>
    </row>
    <row r="70" ht="13.5" customHeight="1">
      <c r="A70" s="95"/>
      <c r="B70" s="95"/>
    </row>
    <row r="71" ht="13.5" customHeight="1">
      <c r="A71" s="95"/>
      <c r="B71" s="95"/>
    </row>
    <row r="72" ht="13.5" customHeight="1">
      <c r="A72" s="95"/>
      <c r="B72" s="95"/>
    </row>
    <row r="73" ht="13.5" customHeight="1">
      <c r="A73" s="95"/>
      <c r="B73" s="95"/>
    </row>
    <row r="74" ht="13.5" customHeight="1">
      <c r="A74" s="95"/>
      <c r="B74" s="95"/>
    </row>
    <row r="75" ht="13.5" customHeight="1">
      <c r="A75" s="95"/>
      <c r="B75" s="95"/>
    </row>
    <row r="76" ht="13.5" customHeight="1">
      <c r="A76" s="95"/>
      <c r="B76" s="95"/>
    </row>
    <row r="77" ht="13.5" customHeight="1">
      <c r="A77" s="95"/>
      <c r="B77" s="95"/>
    </row>
    <row r="78" ht="13.5" customHeight="1">
      <c r="A78" s="95"/>
      <c r="B78" s="95"/>
    </row>
    <row r="79" ht="13.5" customHeight="1">
      <c r="A79" s="95"/>
      <c r="B79" s="95"/>
    </row>
    <row r="80" ht="13.5" customHeight="1">
      <c r="A80" s="95"/>
      <c r="B80" s="95"/>
    </row>
    <row r="81" ht="13.5" customHeight="1">
      <c r="A81" s="95"/>
      <c r="B81" s="95"/>
    </row>
    <row r="82" ht="13.5" customHeight="1">
      <c r="A82" s="95"/>
      <c r="B82" s="95"/>
    </row>
    <row r="83" ht="13.5" customHeight="1">
      <c r="A83" s="95"/>
      <c r="B83" s="95"/>
    </row>
    <row r="84" ht="13.5" customHeight="1">
      <c r="A84" s="95"/>
      <c r="B84" s="95"/>
    </row>
    <row r="85" ht="13.5" customHeight="1">
      <c r="A85" s="95"/>
      <c r="B85" s="95"/>
    </row>
    <row r="86" ht="13.5" customHeight="1">
      <c r="A86" s="95"/>
      <c r="B86" s="95"/>
    </row>
    <row r="87" ht="13.5" customHeight="1">
      <c r="A87" s="95"/>
      <c r="B87" s="95"/>
    </row>
    <row r="88" ht="13.5" customHeight="1">
      <c r="A88" s="95"/>
      <c r="B88" s="95"/>
    </row>
    <row r="89" ht="13.5" customHeight="1">
      <c r="A89" s="95"/>
      <c r="B89" s="95"/>
    </row>
    <row r="90" ht="13.5" customHeight="1">
      <c r="A90" s="95"/>
      <c r="B90" s="95"/>
    </row>
    <row r="91" ht="13.5" customHeight="1">
      <c r="A91" s="95"/>
      <c r="B91" s="95"/>
    </row>
    <row r="92" ht="13.5" customHeight="1">
      <c r="A92" s="95"/>
      <c r="B92" s="95"/>
    </row>
    <row r="93" ht="13.5" customHeight="1">
      <c r="A93" s="95"/>
      <c r="B93" s="95"/>
    </row>
    <row r="94" ht="13.5" customHeight="1">
      <c r="A94" s="95"/>
      <c r="B94" s="95"/>
    </row>
    <row r="95" ht="13.5" customHeight="1">
      <c r="A95" s="95"/>
      <c r="B95" s="95"/>
    </row>
    <row r="96" ht="13.5" customHeight="1">
      <c r="A96" s="95"/>
      <c r="B96" s="95"/>
    </row>
    <row r="97" ht="13.5" customHeight="1">
      <c r="A97" s="95"/>
      <c r="B97" s="95"/>
    </row>
    <row r="98" ht="13.5" customHeight="1">
      <c r="A98" s="95"/>
      <c r="B98" s="95"/>
    </row>
    <row r="99" ht="13.5" customHeight="1">
      <c r="A99" s="95"/>
      <c r="B99" s="95"/>
    </row>
    <row r="100" ht="13.5" customHeight="1">
      <c r="A100" s="95"/>
      <c r="B100" s="95"/>
    </row>
    <row r="101" ht="13.5" customHeight="1">
      <c r="A101" s="95"/>
      <c r="B101" s="95"/>
    </row>
    <row r="102" ht="13.5" customHeight="1">
      <c r="A102" s="95"/>
      <c r="B102" s="95"/>
    </row>
    <row r="103" ht="13.5" customHeight="1">
      <c r="A103" s="95"/>
      <c r="B103" s="95"/>
    </row>
    <row r="104" ht="13.5" customHeight="1">
      <c r="A104" s="95"/>
      <c r="B104" s="95"/>
    </row>
    <row r="105" ht="13.5" customHeight="1">
      <c r="A105" s="95"/>
      <c r="B105" s="95"/>
    </row>
    <row r="106" ht="13.5" customHeight="1">
      <c r="A106" s="95"/>
      <c r="B106" s="95"/>
    </row>
    <row r="107" ht="13.5" customHeight="1">
      <c r="A107" s="95"/>
      <c r="B107" s="95"/>
    </row>
    <row r="108" ht="13.5" customHeight="1">
      <c r="A108" s="95"/>
      <c r="B108" s="95"/>
    </row>
    <row r="109" ht="13.5" customHeight="1">
      <c r="A109" s="95"/>
      <c r="B109" s="95"/>
    </row>
    <row r="110" ht="13.5" customHeight="1">
      <c r="A110" s="95"/>
      <c r="B110" s="95"/>
    </row>
    <row r="111" ht="13.5" customHeight="1">
      <c r="A111" s="95"/>
      <c r="B111" s="95"/>
    </row>
    <row r="112" ht="13.5" customHeight="1">
      <c r="A112" s="95"/>
      <c r="B112" s="95"/>
    </row>
    <row r="113" ht="13.5" customHeight="1">
      <c r="A113" s="95"/>
      <c r="B113" s="95"/>
    </row>
    <row r="114" ht="13.5" customHeight="1">
      <c r="A114" s="95"/>
      <c r="B114" s="95"/>
    </row>
    <row r="115" ht="13.5" customHeight="1">
      <c r="A115" s="95"/>
      <c r="B115" s="95"/>
    </row>
    <row r="116" ht="13.5" customHeight="1">
      <c r="A116" s="95"/>
      <c r="B116" s="95"/>
    </row>
    <row r="117" ht="13.5" customHeight="1">
      <c r="A117" s="95"/>
      <c r="B117" s="95"/>
    </row>
    <row r="118" ht="13.5" customHeight="1">
      <c r="A118" s="95"/>
      <c r="B118" s="95"/>
    </row>
    <row r="119" ht="13.5" customHeight="1">
      <c r="A119" s="95"/>
      <c r="B119" s="95"/>
    </row>
    <row r="120" ht="13.5" customHeight="1">
      <c r="A120" s="95"/>
      <c r="B120" s="95"/>
    </row>
    <row r="121" ht="13.5" customHeight="1">
      <c r="A121" s="95"/>
      <c r="B121" s="95"/>
    </row>
    <row r="122" ht="13.5" customHeight="1">
      <c r="A122" s="95"/>
      <c r="B122" s="95"/>
    </row>
    <row r="123" ht="13.5" customHeight="1">
      <c r="A123" s="95"/>
      <c r="B123" s="95"/>
    </row>
    <row r="124" ht="13.5" customHeight="1">
      <c r="A124" s="95"/>
      <c r="B124" s="95"/>
    </row>
    <row r="125" ht="13.5" customHeight="1">
      <c r="A125" s="95"/>
      <c r="B125" s="95"/>
    </row>
    <row r="126" ht="13.5" customHeight="1">
      <c r="A126" s="95"/>
      <c r="B126" s="95"/>
    </row>
    <row r="127" ht="13.5" customHeight="1">
      <c r="A127" s="95"/>
      <c r="B127" s="95"/>
    </row>
    <row r="128" ht="13.5" customHeight="1">
      <c r="A128" s="95"/>
      <c r="B128" s="95"/>
    </row>
    <row r="129" ht="13.5" customHeight="1">
      <c r="A129" s="95"/>
      <c r="B129" s="95"/>
    </row>
    <row r="130" ht="13.5" customHeight="1">
      <c r="A130" s="95"/>
      <c r="B130" s="95"/>
    </row>
    <row r="131" ht="13.5" customHeight="1">
      <c r="A131" s="95"/>
      <c r="B131" s="95"/>
    </row>
    <row r="132" ht="13.5" customHeight="1">
      <c r="A132" s="95"/>
      <c r="B132" s="95"/>
    </row>
    <row r="133" ht="13.5" customHeight="1">
      <c r="A133" s="95"/>
      <c r="B133" s="95"/>
    </row>
    <row r="134" ht="13.5" customHeight="1">
      <c r="A134" s="95"/>
      <c r="B134" s="95"/>
    </row>
    <row r="135" ht="13.5" customHeight="1">
      <c r="A135" s="95"/>
      <c r="B135" s="95"/>
    </row>
    <row r="136" ht="13.5" customHeight="1">
      <c r="A136" s="95"/>
      <c r="B136" s="95"/>
    </row>
    <row r="137" ht="13.5" customHeight="1">
      <c r="A137" s="95"/>
      <c r="B137" s="95"/>
    </row>
    <row r="138" ht="13.5" customHeight="1">
      <c r="A138" s="95"/>
      <c r="B138" s="95"/>
    </row>
    <row r="139" ht="13.5" customHeight="1">
      <c r="A139" s="95"/>
      <c r="B139" s="95"/>
    </row>
    <row r="140" ht="13.5" customHeight="1">
      <c r="A140" s="95"/>
      <c r="B140" s="95"/>
    </row>
    <row r="141" ht="13.5" customHeight="1">
      <c r="A141" s="95"/>
      <c r="B141" s="95"/>
    </row>
    <row r="142" ht="13.5" customHeight="1">
      <c r="A142" s="95"/>
      <c r="B142" s="95"/>
    </row>
    <row r="143" ht="13.5" customHeight="1">
      <c r="A143" s="95"/>
      <c r="B143" s="95"/>
    </row>
    <row r="144" ht="13.5" customHeight="1">
      <c r="A144" s="95"/>
      <c r="B144" s="95"/>
    </row>
    <row r="145" ht="13.5" customHeight="1">
      <c r="A145" s="95"/>
      <c r="B145" s="95"/>
    </row>
    <row r="146" ht="13.5" customHeight="1">
      <c r="A146" s="95"/>
      <c r="B146" s="95"/>
    </row>
    <row r="147" ht="13.5" customHeight="1">
      <c r="A147" s="95"/>
      <c r="B147" s="95"/>
    </row>
    <row r="148" ht="13.5" customHeight="1">
      <c r="A148" s="95"/>
      <c r="B148" s="95"/>
    </row>
    <row r="149" ht="13.5" customHeight="1">
      <c r="A149" s="95"/>
      <c r="B149" s="95"/>
    </row>
    <row r="150" ht="13.5" customHeight="1">
      <c r="A150" s="95"/>
      <c r="B150" s="95"/>
    </row>
    <row r="151" ht="13.5" customHeight="1">
      <c r="A151" s="95"/>
      <c r="B151" s="95"/>
    </row>
    <row r="152" ht="13.5" customHeight="1">
      <c r="A152" s="95"/>
      <c r="B152" s="95"/>
    </row>
    <row r="153" ht="13.5" customHeight="1">
      <c r="A153" s="95"/>
      <c r="B153" s="95"/>
    </row>
    <row r="154" ht="13.5" customHeight="1">
      <c r="A154" s="95"/>
      <c r="B154" s="95"/>
    </row>
    <row r="155" ht="13.5" customHeight="1">
      <c r="A155" s="95"/>
      <c r="B155" s="95"/>
    </row>
    <row r="156" ht="13.5" customHeight="1">
      <c r="A156" s="95"/>
      <c r="B156" s="95"/>
    </row>
    <row r="157" ht="13.5" customHeight="1">
      <c r="A157" s="95"/>
      <c r="B157" s="95"/>
    </row>
    <row r="158" ht="13.5" customHeight="1">
      <c r="A158" s="95"/>
      <c r="B158" s="95"/>
    </row>
    <row r="159" ht="13.5" customHeight="1">
      <c r="A159" s="95"/>
      <c r="B159" s="95"/>
    </row>
    <row r="160" ht="13.5" customHeight="1">
      <c r="A160" s="95"/>
      <c r="B160" s="95"/>
    </row>
    <row r="161" ht="13.5" customHeight="1">
      <c r="A161" s="95"/>
      <c r="B161" s="95"/>
    </row>
    <row r="162" ht="13.5" customHeight="1">
      <c r="A162" s="95"/>
      <c r="B162" s="95"/>
    </row>
    <row r="163" ht="13.5" customHeight="1">
      <c r="A163" s="95"/>
      <c r="B163" s="95"/>
    </row>
    <row r="164" ht="13.5" customHeight="1">
      <c r="A164" s="95"/>
      <c r="B164" s="95"/>
    </row>
    <row r="165" ht="13.5" customHeight="1">
      <c r="A165" s="95"/>
      <c r="B165" s="95"/>
    </row>
    <row r="166" ht="13.5" customHeight="1">
      <c r="A166" s="95"/>
      <c r="B166" s="95"/>
    </row>
    <row r="167" ht="13.5" customHeight="1">
      <c r="A167" s="95"/>
      <c r="B167" s="95"/>
    </row>
    <row r="168" ht="13.5" customHeight="1">
      <c r="A168" s="95"/>
      <c r="B168" s="95"/>
    </row>
    <row r="169" ht="13.5" customHeight="1">
      <c r="A169" s="95"/>
      <c r="B169" s="95"/>
    </row>
    <row r="170" ht="13.5" customHeight="1">
      <c r="A170" s="95"/>
      <c r="B170" s="95"/>
    </row>
    <row r="171" ht="13.5" customHeight="1">
      <c r="A171" s="95"/>
      <c r="B171" s="95"/>
    </row>
    <row r="172" ht="13.5" customHeight="1">
      <c r="A172" s="95"/>
      <c r="B172" s="95"/>
    </row>
    <row r="173" ht="13.5" customHeight="1">
      <c r="A173" s="95"/>
      <c r="B173" s="95"/>
    </row>
    <row r="174" ht="13.5" customHeight="1">
      <c r="A174" s="95"/>
      <c r="B174" s="95"/>
    </row>
    <row r="175" ht="13.5" customHeight="1">
      <c r="A175" s="95"/>
      <c r="B175" s="95"/>
    </row>
    <row r="176" ht="13.5" customHeight="1">
      <c r="A176" s="95"/>
      <c r="B176" s="95"/>
    </row>
    <row r="177" ht="13.5" customHeight="1">
      <c r="A177" s="95"/>
      <c r="B177" s="95"/>
    </row>
    <row r="178" ht="13.5" customHeight="1">
      <c r="A178" s="95"/>
      <c r="B178" s="95"/>
    </row>
    <row r="179" ht="13.5" customHeight="1">
      <c r="A179" s="95"/>
      <c r="B179" s="95"/>
    </row>
    <row r="180" ht="13.5" customHeight="1">
      <c r="A180" s="95"/>
      <c r="B180" s="95"/>
    </row>
    <row r="181" ht="13.5" customHeight="1">
      <c r="A181" s="95"/>
      <c r="B181" s="95"/>
    </row>
    <row r="182" ht="13.5" customHeight="1">
      <c r="A182" s="95"/>
      <c r="B182" s="95"/>
    </row>
    <row r="183" ht="13.5" customHeight="1">
      <c r="A183" s="95"/>
      <c r="B183" s="95"/>
    </row>
    <row r="184" ht="13.5" customHeight="1">
      <c r="A184" s="95"/>
      <c r="B184" s="95"/>
    </row>
    <row r="185" ht="13.5" customHeight="1">
      <c r="A185" s="95"/>
      <c r="B185" s="95"/>
    </row>
    <row r="186" ht="13.5" customHeight="1">
      <c r="A186" s="95"/>
      <c r="B186" s="95"/>
    </row>
    <row r="187" ht="13.5" customHeight="1">
      <c r="A187" s="95"/>
      <c r="B187" s="95"/>
    </row>
    <row r="188" ht="13.5" customHeight="1">
      <c r="A188" s="95"/>
      <c r="B188" s="95"/>
    </row>
    <row r="189" ht="13.5" customHeight="1">
      <c r="A189" s="95"/>
      <c r="B189" s="95"/>
    </row>
    <row r="190" ht="13.5" customHeight="1">
      <c r="A190" s="95"/>
      <c r="B190" s="95"/>
    </row>
    <row r="191" ht="13.5" customHeight="1">
      <c r="A191" s="95"/>
      <c r="B191" s="95"/>
    </row>
    <row r="192" ht="13.5" customHeight="1">
      <c r="A192" s="95"/>
      <c r="B192" s="95"/>
    </row>
    <row r="193" ht="13.5" customHeight="1">
      <c r="A193" s="95"/>
      <c r="B193" s="95"/>
    </row>
    <row r="194" ht="13.5" customHeight="1">
      <c r="A194" s="95"/>
      <c r="B194" s="95"/>
    </row>
    <row r="195" ht="13.5" customHeight="1">
      <c r="A195" s="95"/>
      <c r="B195" s="95"/>
    </row>
    <row r="196" ht="13.5" customHeight="1">
      <c r="A196" s="95"/>
      <c r="B196" s="95"/>
    </row>
    <row r="197" ht="13.5" customHeight="1">
      <c r="A197" s="95"/>
      <c r="B197" s="95"/>
    </row>
    <row r="198" ht="13.5" customHeight="1">
      <c r="A198" s="95"/>
      <c r="B198" s="95"/>
    </row>
    <row r="199" ht="13.5" customHeight="1">
      <c r="A199" s="95"/>
      <c r="B199" s="95"/>
    </row>
    <row r="200" ht="13.5" customHeight="1">
      <c r="A200" s="95"/>
      <c r="B200" s="95"/>
    </row>
    <row r="201" ht="13.5" customHeight="1">
      <c r="A201" s="95"/>
      <c r="B201" s="95"/>
    </row>
    <row r="202" ht="13.5" customHeight="1">
      <c r="A202" s="95"/>
      <c r="B202" s="95"/>
    </row>
    <row r="203" ht="13.5" customHeight="1">
      <c r="A203" s="95"/>
      <c r="B203" s="95"/>
    </row>
    <row r="204" ht="13.5" customHeight="1">
      <c r="A204" s="95"/>
      <c r="B204" s="95"/>
    </row>
    <row r="205" ht="13.5" customHeight="1">
      <c r="A205" s="95"/>
      <c r="B205" s="95"/>
    </row>
    <row r="206" ht="13.5" customHeight="1">
      <c r="A206" s="95"/>
      <c r="B206" s="95"/>
    </row>
    <row r="207" ht="13.5" customHeight="1">
      <c r="A207" s="95"/>
      <c r="B207" s="95"/>
    </row>
    <row r="208" ht="13.5" customHeight="1">
      <c r="A208" s="95"/>
      <c r="B208" s="95"/>
    </row>
    <row r="209" ht="13.5" customHeight="1">
      <c r="A209" s="95"/>
      <c r="B209" s="95"/>
    </row>
    <row r="210" ht="13.5" customHeight="1">
      <c r="A210" s="95"/>
      <c r="B210" s="95"/>
    </row>
    <row r="211" ht="13.5" customHeight="1">
      <c r="A211" s="95"/>
      <c r="B211" s="95"/>
    </row>
    <row r="212" ht="13.5" customHeight="1">
      <c r="A212" s="95"/>
      <c r="B212" s="95"/>
    </row>
    <row r="213" ht="13.5" customHeight="1">
      <c r="A213" s="95"/>
      <c r="B213" s="95"/>
    </row>
    <row r="214" ht="13.5" customHeight="1">
      <c r="A214" s="95"/>
      <c r="B214" s="95"/>
    </row>
    <row r="215" ht="13.5" customHeight="1">
      <c r="A215" s="95"/>
      <c r="B215" s="95"/>
    </row>
    <row r="216" ht="13.5" customHeight="1">
      <c r="A216" s="95"/>
      <c r="B216" s="95"/>
    </row>
    <row r="217" ht="13.5" customHeight="1">
      <c r="A217" s="95"/>
      <c r="B217" s="95"/>
    </row>
    <row r="218" ht="13.5" customHeight="1">
      <c r="A218" s="95"/>
      <c r="B218" s="95"/>
    </row>
    <row r="219" ht="13.5" customHeight="1">
      <c r="A219" s="95"/>
      <c r="B219" s="95"/>
    </row>
    <row r="220" ht="13.5" customHeight="1">
      <c r="A220" s="95"/>
      <c r="B220" s="95"/>
    </row>
    <row r="221" ht="13.5" customHeight="1">
      <c r="A221" s="95"/>
      <c r="B221" s="95"/>
    </row>
    <row r="222" ht="13.5" customHeight="1">
      <c r="A222" s="95"/>
      <c r="B222" s="95"/>
    </row>
    <row r="223" ht="13.5" customHeight="1">
      <c r="A223" s="95"/>
      <c r="B223" s="95"/>
    </row>
    <row r="224" ht="13.5" customHeight="1">
      <c r="A224" s="95"/>
      <c r="B224" s="95"/>
    </row>
    <row r="225" ht="13.5" customHeight="1">
      <c r="A225" s="95"/>
      <c r="B225" s="95"/>
    </row>
    <row r="226" ht="13.5" customHeight="1">
      <c r="A226" s="95"/>
      <c r="B226" s="95"/>
    </row>
    <row r="227" ht="13.5" customHeight="1">
      <c r="A227" s="95"/>
      <c r="B227" s="95"/>
    </row>
    <row r="228" ht="13.5" customHeight="1">
      <c r="A228" s="95"/>
      <c r="B228" s="95"/>
    </row>
    <row r="229" ht="13.5" customHeight="1">
      <c r="A229" s="95"/>
      <c r="B229" s="95"/>
    </row>
    <row r="230" ht="13.5" customHeight="1">
      <c r="A230" s="95"/>
      <c r="B230" s="95"/>
    </row>
    <row r="231" ht="13.5" customHeight="1">
      <c r="A231" s="95"/>
      <c r="B231" s="95"/>
    </row>
    <row r="232" ht="13.5" customHeight="1">
      <c r="A232" s="95"/>
      <c r="B232" s="95"/>
    </row>
    <row r="233" ht="13.5" customHeight="1">
      <c r="A233" s="95"/>
      <c r="B233" s="95"/>
    </row>
    <row r="234" ht="13.5" customHeight="1">
      <c r="A234" s="95"/>
      <c r="B234" s="95"/>
    </row>
    <row r="235" ht="13.5" customHeight="1">
      <c r="A235" s="95"/>
      <c r="B235" s="95"/>
    </row>
    <row r="236" ht="13.5" customHeight="1">
      <c r="A236" s="95"/>
      <c r="B236" s="95"/>
    </row>
    <row r="237" ht="13.5" customHeight="1">
      <c r="A237" s="95"/>
      <c r="B237" s="95"/>
    </row>
    <row r="238" ht="13.5" customHeight="1">
      <c r="A238" s="95"/>
      <c r="B238" s="95"/>
    </row>
    <row r="239" ht="13.5" customHeight="1">
      <c r="A239" s="95"/>
      <c r="B239" s="95"/>
    </row>
    <row r="240" ht="13.5" customHeight="1">
      <c r="A240" s="95"/>
      <c r="B240" s="95"/>
    </row>
    <row r="241" ht="13.5" customHeight="1">
      <c r="A241" s="95"/>
      <c r="B241" s="95"/>
    </row>
    <row r="242" ht="13.5" customHeight="1">
      <c r="A242" s="95"/>
      <c r="B242" s="95"/>
    </row>
    <row r="243" ht="13.5" customHeight="1">
      <c r="A243" s="95"/>
      <c r="B243" s="95"/>
    </row>
    <row r="244" ht="13.5" customHeight="1">
      <c r="A244" s="95"/>
      <c r="B244" s="95"/>
    </row>
    <row r="245" ht="13.5" customHeight="1">
      <c r="A245" s="95"/>
      <c r="B245" s="95"/>
    </row>
    <row r="246" ht="13.5" customHeight="1">
      <c r="A246" s="95"/>
      <c r="B246" s="95"/>
    </row>
    <row r="247" ht="13.5" customHeight="1">
      <c r="A247" s="95"/>
      <c r="B247" s="95"/>
    </row>
    <row r="248" ht="13.5" customHeight="1">
      <c r="A248" s="95"/>
      <c r="B248" s="95"/>
    </row>
    <row r="249" ht="13.5" customHeight="1">
      <c r="A249" s="95"/>
      <c r="B249" s="95"/>
    </row>
    <row r="250" ht="13.5" customHeight="1">
      <c r="A250" s="95"/>
      <c r="B250" s="95"/>
    </row>
    <row r="251" ht="13.5" customHeight="1">
      <c r="A251" s="95"/>
      <c r="B251" s="95"/>
    </row>
    <row r="252" ht="13.5" customHeight="1">
      <c r="A252" s="95"/>
      <c r="B252" s="95"/>
    </row>
    <row r="253" ht="13.5" customHeight="1">
      <c r="A253" s="95"/>
      <c r="B253" s="95"/>
    </row>
    <row r="254" ht="13.5" customHeight="1">
      <c r="A254" s="95"/>
      <c r="B254" s="95"/>
    </row>
    <row r="255" ht="13.5" customHeight="1">
      <c r="A255" s="95"/>
      <c r="B255" s="95"/>
    </row>
    <row r="256" ht="13.5" customHeight="1">
      <c r="A256" s="95"/>
      <c r="B256" s="95"/>
    </row>
    <row r="257" ht="13.5" customHeight="1">
      <c r="A257" s="95"/>
      <c r="B257" s="95"/>
    </row>
    <row r="258" ht="13.5" customHeight="1">
      <c r="A258" s="95"/>
      <c r="B258" s="95"/>
    </row>
    <row r="259" ht="13.5" customHeight="1">
      <c r="A259" s="95"/>
      <c r="B259" s="95"/>
    </row>
    <row r="260" ht="13.5" customHeight="1">
      <c r="A260" s="95"/>
      <c r="B260" s="95"/>
    </row>
    <row r="261" ht="13.5" customHeight="1">
      <c r="A261" s="95"/>
      <c r="B261" s="95"/>
    </row>
    <row r="262" ht="13.5" customHeight="1">
      <c r="A262" s="95"/>
      <c r="B262" s="95"/>
    </row>
    <row r="263" ht="13.5" customHeight="1">
      <c r="A263" s="95"/>
      <c r="B263" s="95"/>
    </row>
    <row r="264" ht="13.5" customHeight="1">
      <c r="A264" s="95"/>
      <c r="B264" s="95"/>
    </row>
    <row r="265" ht="13.5" customHeight="1">
      <c r="A265" s="95"/>
      <c r="B265" s="95"/>
    </row>
    <row r="266" ht="13.5" customHeight="1">
      <c r="A266" s="95"/>
      <c r="B266" s="95"/>
    </row>
    <row r="267" ht="13.5" customHeight="1">
      <c r="A267" s="95"/>
      <c r="B267" s="95"/>
    </row>
    <row r="268" ht="13.5" customHeight="1">
      <c r="A268" s="95"/>
      <c r="B268" s="95"/>
    </row>
    <row r="269" ht="13.5" customHeight="1">
      <c r="A269" s="95"/>
      <c r="B269" s="95"/>
    </row>
    <row r="270" ht="13.5" customHeight="1">
      <c r="A270" s="95"/>
      <c r="B270" s="95"/>
    </row>
    <row r="271" ht="13.5" customHeight="1">
      <c r="A271" s="95"/>
      <c r="B271" s="95"/>
    </row>
    <row r="272" ht="13.5" customHeight="1">
      <c r="A272" s="95"/>
      <c r="B272" s="95"/>
    </row>
    <row r="273" ht="13.5" customHeight="1">
      <c r="A273" s="95"/>
      <c r="B273" s="95"/>
    </row>
    <row r="274" ht="13.5" customHeight="1">
      <c r="A274" s="95"/>
      <c r="B274" s="95"/>
    </row>
    <row r="275" ht="13.5" customHeight="1">
      <c r="A275" s="95"/>
      <c r="B275" s="95"/>
    </row>
    <row r="276" ht="13.5" customHeight="1">
      <c r="A276" s="95"/>
      <c r="B276" s="95"/>
    </row>
    <row r="277" ht="13.5" customHeight="1">
      <c r="A277" s="95"/>
      <c r="B277" s="95"/>
    </row>
    <row r="278" ht="13.5" customHeight="1">
      <c r="A278" s="95"/>
      <c r="B278" s="95"/>
    </row>
    <row r="279" ht="13.5" customHeight="1">
      <c r="A279" s="95"/>
      <c r="B279" s="95"/>
    </row>
    <row r="280" ht="13.5" customHeight="1">
      <c r="A280" s="95"/>
      <c r="B280" s="95"/>
    </row>
    <row r="281" ht="13.5" customHeight="1">
      <c r="A281" s="95"/>
      <c r="B281" s="95"/>
    </row>
    <row r="282" ht="13.5" customHeight="1">
      <c r="A282" s="95"/>
      <c r="B282" s="95"/>
    </row>
    <row r="283" ht="13.5" customHeight="1">
      <c r="A283" s="95"/>
      <c r="B283" s="95"/>
    </row>
    <row r="284" ht="13.5" customHeight="1">
      <c r="A284" s="95"/>
      <c r="B284" s="95"/>
    </row>
    <row r="285" ht="13.5" customHeight="1">
      <c r="A285" s="95"/>
      <c r="B285" s="95"/>
    </row>
    <row r="286" ht="13.5" customHeight="1">
      <c r="A286" s="95"/>
      <c r="B286" s="95"/>
    </row>
    <row r="287" ht="13.5" customHeight="1">
      <c r="A287" s="95"/>
      <c r="B287" s="95"/>
    </row>
    <row r="288" ht="13.5" customHeight="1">
      <c r="A288" s="95"/>
      <c r="B288" s="95"/>
    </row>
    <row r="289" ht="13.5" customHeight="1">
      <c r="A289" s="95"/>
      <c r="B289" s="95"/>
    </row>
    <row r="290" ht="13.5" customHeight="1">
      <c r="A290" s="95"/>
      <c r="B290" s="95"/>
    </row>
    <row r="291" ht="13.5" customHeight="1">
      <c r="A291" s="95"/>
      <c r="B291" s="95"/>
    </row>
    <row r="292" ht="13.5" customHeight="1">
      <c r="A292" s="95"/>
      <c r="B292" s="95"/>
    </row>
    <row r="293" ht="13.5" customHeight="1">
      <c r="A293" s="95"/>
      <c r="B293" s="95"/>
    </row>
    <row r="294" ht="13.5" customHeight="1">
      <c r="A294" s="95"/>
      <c r="B294" s="95"/>
    </row>
    <row r="295" ht="13.5" customHeight="1">
      <c r="A295" s="95"/>
      <c r="B295" s="95"/>
    </row>
    <row r="296" ht="13.5" customHeight="1">
      <c r="A296" s="95"/>
      <c r="B296" s="95"/>
    </row>
    <row r="297" ht="13.5" customHeight="1">
      <c r="A297" s="95"/>
      <c r="B297" s="95"/>
    </row>
    <row r="298" ht="13.5" customHeight="1">
      <c r="A298" s="95"/>
      <c r="B298" s="95"/>
    </row>
    <row r="299" ht="13.5" customHeight="1">
      <c r="A299" s="95"/>
      <c r="B299" s="95"/>
    </row>
    <row r="300" ht="13.5" customHeight="1">
      <c r="A300" s="95"/>
      <c r="B300" s="95"/>
    </row>
    <row r="301" ht="13.5" customHeight="1">
      <c r="A301" s="95"/>
      <c r="B301" s="95"/>
    </row>
    <row r="302" ht="13.5" customHeight="1">
      <c r="A302" s="95"/>
      <c r="B302" s="95"/>
    </row>
    <row r="303" ht="13.5" customHeight="1">
      <c r="A303" s="95"/>
      <c r="B303" s="95"/>
    </row>
    <row r="304" ht="13.5" customHeight="1">
      <c r="A304" s="95"/>
      <c r="B304" s="95"/>
    </row>
    <row r="305" ht="13.5" customHeight="1">
      <c r="A305" s="95"/>
      <c r="B305" s="95"/>
    </row>
    <row r="306" ht="13.5" customHeight="1">
      <c r="A306" s="95"/>
      <c r="B306" s="95"/>
    </row>
    <row r="307" ht="13.5" customHeight="1">
      <c r="A307" s="95"/>
      <c r="B307" s="95"/>
    </row>
    <row r="308" ht="13.5" customHeight="1">
      <c r="A308" s="95"/>
      <c r="B308" s="95"/>
    </row>
    <row r="309" ht="13.5" customHeight="1">
      <c r="A309" s="95"/>
      <c r="B309" s="95"/>
    </row>
    <row r="310" ht="13.5" customHeight="1">
      <c r="A310" s="95"/>
      <c r="B310" s="95"/>
    </row>
    <row r="311" ht="13.5" customHeight="1">
      <c r="A311" s="95"/>
      <c r="B311" s="95"/>
    </row>
    <row r="312" ht="13.5" customHeight="1">
      <c r="A312" s="95"/>
      <c r="B312" s="95"/>
    </row>
    <row r="313" ht="13.5" customHeight="1">
      <c r="A313" s="95"/>
      <c r="B313" s="95"/>
    </row>
    <row r="314" ht="13.5" customHeight="1">
      <c r="A314" s="95"/>
      <c r="B314" s="95"/>
    </row>
    <row r="315" ht="13.5" customHeight="1">
      <c r="A315" s="95"/>
      <c r="B315" s="95"/>
    </row>
    <row r="316" ht="13.5" customHeight="1">
      <c r="A316" s="95"/>
      <c r="B316" s="95"/>
    </row>
    <row r="317" ht="13.5" customHeight="1">
      <c r="A317" s="95"/>
      <c r="B317" s="95"/>
    </row>
    <row r="318" ht="13.5" customHeight="1">
      <c r="A318" s="95"/>
      <c r="B318" s="95"/>
    </row>
    <row r="319" ht="13.5" customHeight="1">
      <c r="A319" s="95"/>
      <c r="B319" s="95"/>
    </row>
    <row r="320" ht="13.5" customHeight="1">
      <c r="A320" s="95"/>
      <c r="B320" s="95"/>
    </row>
    <row r="321" ht="13.5" customHeight="1">
      <c r="A321" s="95"/>
      <c r="B321" s="95"/>
    </row>
    <row r="322" ht="13.5" customHeight="1">
      <c r="A322" s="95"/>
      <c r="B322" s="95"/>
    </row>
    <row r="323" ht="13.5" customHeight="1">
      <c r="A323" s="95"/>
      <c r="B323" s="95"/>
    </row>
    <row r="324" ht="13.5" customHeight="1">
      <c r="A324" s="95"/>
      <c r="B324" s="95"/>
    </row>
    <row r="325" ht="13.5" customHeight="1">
      <c r="A325" s="95"/>
      <c r="B325" s="95"/>
    </row>
    <row r="326" ht="13.5" customHeight="1">
      <c r="A326" s="95"/>
      <c r="B326" s="95"/>
    </row>
    <row r="327" ht="13.5" customHeight="1">
      <c r="A327" s="95"/>
      <c r="B327" s="95"/>
    </row>
    <row r="328" ht="13.5" customHeight="1">
      <c r="A328" s="95"/>
      <c r="B328" s="95"/>
    </row>
    <row r="329" ht="13.5" customHeight="1">
      <c r="A329" s="95"/>
      <c r="B329" s="95"/>
    </row>
    <row r="330" ht="13.5" customHeight="1">
      <c r="A330" s="95"/>
      <c r="B330" s="95"/>
    </row>
    <row r="331" ht="13.5" customHeight="1">
      <c r="A331" s="95"/>
      <c r="B331" s="95"/>
    </row>
    <row r="332" ht="13.5" customHeight="1">
      <c r="A332" s="95"/>
      <c r="B332" s="95"/>
    </row>
    <row r="333" ht="13.5" customHeight="1">
      <c r="A333" s="95"/>
      <c r="B333" s="95"/>
    </row>
    <row r="334" ht="13.5" customHeight="1">
      <c r="A334" s="95"/>
      <c r="B334" s="95"/>
    </row>
    <row r="335" ht="13.5" customHeight="1">
      <c r="A335" s="95"/>
      <c r="B335" s="95"/>
    </row>
    <row r="336" ht="13.5" customHeight="1">
      <c r="A336" s="95"/>
      <c r="B336" s="95"/>
    </row>
    <row r="337" ht="13.5" customHeight="1">
      <c r="A337" s="95"/>
      <c r="B337" s="95"/>
    </row>
    <row r="338" ht="13.5" customHeight="1">
      <c r="A338" s="95"/>
      <c r="B338" s="95"/>
    </row>
    <row r="339" ht="13.5" customHeight="1">
      <c r="A339" s="95"/>
      <c r="B339" s="95"/>
    </row>
    <row r="340" ht="13.5" customHeight="1">
      <c r="A340" s="95"/>
      <c r="B340" s="95"/>
    </row>
    <row r="341" ht="13.5" customHeight="1">
      <c r="A341" s="95"/>
      <c r="B341" s="95"/>
    </row>
    <row r="342" ht="13.5" customHeight="1">
      <c r="A342" s="95"/>
      <c r="B342" s="95"/>
    </row>
    <row r="343" ht="13.5" customHeight="1">
      <c r="A343" s="95"/>
      <c r="B343" s="95"/>
    </row>
    <row r="344" ht="13.5" customHeight="1">
      <c r="A344" s="95"/>
      <c r="B344" s="95"/>
    </row>
    <row r="345" ht="13.5" customHeight="1">
      <c r="A345" s="95"/>
      <c r="B345" s="95"/>
    </row>
    <row r="346" ht="13.5" customHeight="1">
      <c r="A346" s="95"/>
      <c r="B346" s="95"/>
    </row>
    <row r="347" ht="13.5" customHeight="1">
      <c r="A347" s="95"/>
      <c r="B347" s="95"/>
    </row>
    <row r="348" ht="13.5" customHeight="1">
      <c r="A348" s="95"/>
      <c r="B348" s="95"/>
    </row>
    <row r="349" ht="13.5" customHeight="1">
      <c r="A349" s="95"/>
      <c r="B349" s="95"/>
    </row>
    <row r="350" ht="13.5" customHeight="1">
      <c r="A350" s="95"/>
      <c r="B350" s="95"/>
    </row>
    <row r="351" ht="13.5" customHeight="1">
      <c r="A351" s="95"/>
      <c r="B351" s="95"/>
    </row>
    <row r="352" ht="13.5" customHeight="1">
      <c r="A352" s="95"/>
      <c r="B352" s="95"/>
    </row>
    <row r="353" ht="13.5" customHeight="1">
      <c r="A353" s="95"/>
      <c r="B353" s="95"/>
    </row>
    <row r="354" ht="13.5" customHeight="1">
      <c r="A354" s="95"/>
      <c r="B354" s="95"/>
    </row>
    <row r="355" ht="13.5" customHeight="1">
      <c r="A355" s="95"/>
      <c r="B355" s="95"/>
    </row>
    <row r="356" ht="13.5" customHeight="1">
      <c r="A356" s="95"/>
      <c r="B356" s="95"/>
    </row>
    <row r="357" ht="13.5" customHeight="1">
      <c r="A357" s="95"/>
      <c r="B357" s="95"/>
    </row>
    <row r="358" ht="13.5" customHeight="1">
      <c r="A358" s="95"/>
      <c r="B358" s="95"/>
    </row>
    <row r="359" ht="13.5" customHeight="1">
      <c r="A359" s="95"/>
      <c r="B359" s="95"/>
    </row>
    <row r="360" ht="13.5" customHeight="1">
      <c r="A360" s="95"/>
      <c r="B360" s="95"/>
    </row>
    <row r="361" ht="13.5" customHeight="1">
      <c r="A361" s="95"/>
      <c r="B361" s="95"/>
    </row>
    <row r="362" ht="13.5" customHeight="1">
      <c r="A362" s="95"/>
      <c r="B362" s="95"/>
    </row>
    <row r="363" ht="13.5" customHeight="1">
      <c r="A363" s="95"/>
      <c r="B363" s="95"/>
    </row>
    <row r="364" ht="13.5" customHeight="1">
      <c r="A364" s="95"/>
      <c r="B364" s="95"/>
    </row>
    <row r="365" ht="13.5" customHeight="1">
      <c r="A365" s="95"/>
      <c r="B365" s="95"/>
    </row>
    <row r="366" ht="13.5" customHeight="1">
      <c r="A366" s="95"/>
      <c r="B366" s="95"/>
    </row>
    <row r="367" ht="13.5" customHeight="1">
      <c r="A367" s="95"/>
      <c r="B367" s="95"/>
    </row>
    <row r="368" ht="13.5" customHeight="1">
      <c r="A368" s="95"/>
      <c r="B368" s="95"/>
    </row>
    <row r="369" ht="13.5" customHeight="1">
      <c r="A369" s="95"/>
      <c r="B369" s="95"/>
    </row>
    <row r="370" ht="13.5" customHeight="1">
      <c r="A370" s="95"/>
      <c r="B370" s="95"/>
    </row>
    <row r="371" ht="13.5" customHeight="1">
      <c r="A371" s="95"/>
      <c r="B371" s="95"/>
    </row>
    <row r="372" ht="13.5" customHeight="1">
      <c r="A372" s="95"/>
      <c r="B372" s="95"/>
    </row>
    <row r="373" ht="13.5" customHeight="1">
      <c r="A373" s="95"/>
      <c r="B373" s="95"/>
    </row>
    <row r="374" ht="13.5" customHeight="1">
      <c r="A374" s="95"/>
      <c r="B374" s="95"/>
    </row>
    <row r="375" ht="13.5" customHeight="1">
      <c r="A375" s="95"/>
      <c r="B375" s="95"/>
    </row>
    <row r="376" ht="13.5" customHeight="1">
      <c r="A376" s="95"/>
      <c r="B376" s="95"/>
    </row>
    <row r="377" ht="13.5" customHeight="1">
      <c r="A377" s="95"/>
      <c r="B377" s="95"/>
    </row>
    <row r="378" ht="13.5" customHeight="1">
      <c r="A378" s="95"/>
      <c r="B378" s="95"/>
    </row>
    <row r="379" ht="13.5" customHeight="1">
      <c r="A379" s="95"/>
      <c r="B379" s="95"/>
    </row>
    <row r="380" ht="13.5" customHeight="1">
      <c r="A380" s="95"/>
      <c r="B380" s="95"/>
    </row>
    <row r="381" ht="13.5" customHeight="1">
      <c r="A381" s="95"/>
      <c r="B381" s="95"/>
    </row>
    <row r="382" ht="13.5" customHeight="1">
      <c r="A382" s="95"/>
      <c r="B382" s="95"/>
    </row>
    <row r="383" ht="13.5" customHeight="1">
      <c r="A383" s="95"/>
      <c r="B383" s="95"/>
    </row>
    <row r="384" ht="13.5" customHeight="1">
      <c r="A384" s="95"/>
      <c r="B384" s="95"/>
    </row>
    <row r="385" ht="13.5" customHeight="1">
      <c r="A385" s="95"/>
      <c r="B385" s="95"/>
    </row>
    <row r="386" ht="13.5" customHeight="1">
      <c r="A386" s="95"/>
      <c r="B386" s="95"/>
    </row>
    <row r="387" ht="13.5" customHeight="1">
      <c r="A387" s="95"/>
      <c r="B387" s="95"/>
    </row>
    <row r="388" ht="13.5" customHeight="1">
      <c r="A388" s="95"/>
      <c r="B388" s="95"/>
    </row>
    <row r="389" ht="13.5" customHeight="1">
      <c r="A389" s="95"/>
      <c r="B389" s="95"/>
    </row>
    <row r="390" ht="13.5" customHeight="1">
      <c r="A390" s="95"/>
      <c r="B390" s="95"/>
    </row>
    <row r="391" ht="13.5" customHeight="1">
      <c r="A391" s="95"/>
      <c r="B391" s="95"/>
    </row>
    <row r="392" ht="13.5" customHeight="1">
      <c r="A392" s="95"/>
      <c r="B392" s="95"/>
    </row>
    <row r="393" ht="13.5" customHeight="1">
      <c r="A393" s="95"/>
      <c r="B393" s="95"/>
    </row>
    <row r="394" ht="13.5" customHeight="1">
      <c r="A394" s="95"/>
      <c r="B394" s="95"/>
    </row>
    <row r="395" ht="13.5" customHeight="1">
      <c r="A395" s="95"/>
      <c r="B395" s="95"/>
    </row>
    <row r="396" ht="13.5" customHeight="1">
      <c r="A396" s="95"/>
      <c r="B396" s="95"/>
    </row>
    <row r="397" ht="13.5" customHeight="1">
      <c r="A397" s="95"/>
      <c r="B397" s="95"/>
    </row>
    <row r="398" ht="13.5" customHeight="1">
      <c r="A398" s="95"/>
      <c r="B398" s="95"/>
    </row>
    <row r="399" ht="13.5" customHeight="1">
      <c r="A399" s="95"/>
      <c r="B399" s="95"/>
    </row>
    <row r="400" ht="13.5" customHeight="1">
      <c r="A400" s="95"/>
      <c r="B400" s="95"/>
    </row>
    <row r="401" ht="13.5" customHeight="1">
      <c r="A401" s="95"/>
      <c r="B401" s="95"/>
    </row>
    <row r="402" ht="13.5" customHeight="1">
      <c r="A402" s="95"/>
      <c r="B402" s="95"/>
    </row>
    <row r="403" ht="13.5" customHeight="1">
      <c r="A403" s="95"/>
      <c r="B403" s="95"/>
    </row>
    <row r="404" ht="13.5" customHeight="1">
      <c r="A404" s="95"/>
      <c r="B404" s="95"/>
    </row>
    <row r="405" ht="13.5" customHeight="1">
      <c r="A405" s="95"/>
      <c r="B405" s="95"/>
    </row>
    <row r="406" ht="13.5" customHeight="1">
      <c r="A406" s="95"/>
      <c r="B406" s="95"/>
    </row>
    <row r="407" ht="13.5" customHeight="1">
      <c r="A407" s="95"/>
      <c r="B407" s="95"/>
    </row>
    <row r="408" ht="13.5" customHeight="1">
      <c r="A408" s="95"/>
      <c r="B408" s="95"/>
    </row>
    <row r="409" ht="13.5" customHeight="1">
      <c r="A409" s="95"/>
      <c r="B409" s="95"/>
    </row>
    <row r="410" ht="13.5" customHeight="1">
      <c r="A410" s="95"/>
      <c r="B410" s="95"/>
    </row>
    <row r="411" ht="13.5" customHeight="1">
      <c r="A411" s="95"/>
      <c r="B411" s="95"/>
    </row>
    <row r="412" ht="13.5" customHeight="1">
      <c r="A412" s="95"/>
      <c r="B412" s="95"/>
    </row>
    <row r="413" ht="13.5" customHeight="1">
      <c r="A413" s="95"/>
      <c r="B413" s="95"/>
    </row>
    <row r="414" ht="13.5" customHeight="1">
      <c r="A414" s="95"/>
      <c r="B414" s="95"/>
    </row>
    <row r="415" ht="13.5" customHeight="1">
      <c r="A415" s="95"/>
      <c r="B415" s="95"/>
    </row>
    <row r="416" ht="13.5" customHeight="1">
      <c r="A416" s="95"/>
      <c r="B416" s="95"/>
    </row>
    <row r="417" ht="13.5" customHeight="1">
      <c r="A417" s="95"/>
      <c r="B417" s="95"/>
    </row>
    <row r="418" ht="13.5" customHeight="1">
      <c r="A418" s="95"/>
      <c r="B418" s="95"/>
    </row>
    <row r="419" ht="13.5" customHeight="1">
      <c r="A419" s="95"/>
      <c r="B419" s="95"/>
    </row>
    <row r="420" ht="13.5" customHeight="1">
      <c r="A420" s="95"/>
      <c r="B420" s="95"/>
    </row>
    <row r="421" ht="13.5" customHeight="1">
      <c r="A421" s="95"/>
      <c r="B421" s="95"/>
    </row>
    <row r="422" ht="13.5" customHeight="1">
      <c r="A422" s="95"/>
      <c r="B422" s="95"/>
    </row>
    <row r="423" ht="13.5" customHeight="1">
      <c r="A423" s="95"/>
      <c r="B423" s="95"/>
    </row>
    <row r="424" ht="13.5" customHeight="1">
      <c r="A424" s="95"/>
      <c r="B424" s="95"/>
    </row>
    <row r="425" ht="13.5" customHeight="1">
      <c r="A425" s="95"/>
      <c r="B425" s="95"/>
    </row>
    <row r="426" ht="13.5" customHeight="1">
      <c r="A426" s="95"/>
      <c r="B426" s="95"/>
    </row>
    <row r="427" ht="13.5" customHeight="1">
      <c r="A427" s="95"/>
      <c r="B427" s="95"/>
    </row>
    <row r="428" ht="13.5" customHeight="1">
      <c r="A428" s="95"/>
      <c r="B428" s="95"/>
    </row>
    <row r="429" ht="13.5" customHeight="1">
      <c r="A429" s="95"/>
      <c r="B429" s="95"/>
    </row>
    <row r="430" ht="13.5" customHeight="1">
      <c r="A430" s="95"/>
      <c r="B430" s="95"/>
    </row>
    <row r="431" ht="13.5" customHeight="1">
      <c r="A431" s="95"/>
      <c r="B431" s="95"/>
    </row>
    <row r="432" ht="13.5" customHeight="1">
      <c r="A432" s="95"/>
      <c r="B432" s="95"/>
    </row>
    <row r="433" ht="13.5" customHeight="1">
      <c r="A433" s="95"/>
      <c r="B433" s="95"/>
    </row>
    <row r="434" ht="13.5" customHeight="1">
      <c r="A434" s="95"/>
      <c r="B434" s="95"/>
    </row>
    <row r="435" ht="13.5" customHeight="1">
      <c r="A435" s="95"/>
      <c r="B435" s="95"/>
    </row>
    <row r="436" ht="13.5" customHeight="1">
      <c r="A436" s="95"/>
      <c r="B436" s="95"/>
    </row>
    <row r="437" ht="13.5" customHeight="1">
      <c r="A437" s="95"/>
      <c r="B437" s="95"/>
    </row>
    <row r="438" ht="13.5" customHeight="1">
      <c r="A438" s="95"/>
      <c r="B438" s="95"/>
    </row>
    <row r="439" ht="13.5" customHeight="1">
      <c r="A439" s="95"/>
      <c r="B439" s="95"/>
    </row>
    <row r="440" ht="13.5" customHeight="1">
      <c r="A440" s="95"/>
      <c r="B440" s="95"/>
    </row>
    <row r="441" ht="13.5" customHeight="1">
      <c r="A441" s="95"/>
      <c r="B441" s="95"/>
    </row>
    <row r="442" ht="13.5" customHeight="1">
      <c r="A442" s="95"/>
      <c r="B442" s="95"/>
    </row>
    <row r="443" ht="13.5" customHeight="1">
      <c r="A443" s="95"/>
      <c r="B443" s="95"/>
    </row>
    <row r="444" ht="13.5" customHeight="1">
      <c r="A444" s="95"/>
      <c r="B444" s="95"/>
    </row>
    <row r="445" ht="13.5" customHeight="1">
      <c r="A445" s="95"/>
      <c r="B445" s="95"/>
    </row>
    <row r="446" ht="13.5" customHeight="1">
      <c r="A446" s="95"/>
      <c r="B446" s="95"/>
    </row>
    <row r="447" ht="13.5" customHeight="1">
      <c r="A447" s="95"/>
      <c r="B447" s="95"/>
    </row>
    <row r="448" ht="13.5" customHeight="1">
      <c r="A448" s="95"/>
      <c r="B448" s="95"/>
    </row>
    <row r="449" ht="13.5" customHeight="1">
      <c r="A449" s="95"/>
      <c r="B449" s="95"/>
    </row>
    <row r="450" ht="13.5" customHeight="1">
      <c r="A450" s="95"/>
      <c r="B450" s="95"/>
    </row>
    <row r="451" ht="13.5" customHeight="1">
      <c r="A451" s="95"/>
      <c r="B451" s="95"/>
    </row>
    <row r="452" ht="13.5" customHeight="1">
      <c r="A452" s="95"/>
      <c r="B452" s="95"/>
    </row>
    <row r="453" ht="13.5" customHeight="1">
      <c r="A453" s="95"/>
      <c r="B453" s="95"/>
    </row>
    <row r="454" ht="13.5" customHeight="1">
      <c r="A454" s="95"/>
      <c r="B454" s="95"/>
    </row>
    <row r="455" ht="13.5" customHeight="1">
      <c r="A455" s="95"/>
      <c r="B455" s="95"/>
    </row>
    <row r="456" ht="13.5" customHeight="1">
      <c r="A456" s="95"/>
      <c r="B456" s="95"/>
    </row>
    <row r="457" ht="13.5" customHeight="1">
      <c r="A457" s="95"/>
      <c r="B457" s="95"/>
    </row>
    <row r="458" ht="13.5" customHeight="1">
      <c r="A458" s="95"/>
      <c r="B458" s="95"/>
    </row>
    <row r="459" ht="13.5" customHeight="1">
      <c r="A459" s="95"/>
      <c r="B459" s="95"/>
    </row>
    <row r="460" ht="13.5" customHeight="1">
      <c r="A460" s="95"/>
      <c r="B460" s="95"/>
    </row>
    <row r="461" ht="13.5" customHeight="1">
      <c r="A461" s="95"/>
      <c r="B461" s="95"/>
    </row>
    <row r="462" ht="13.5" customHeight="1">
      <c r="A462" s="95"/>
      <c r="B462" s="95"/>
    </row>
    <row r="463" ht="13.5" customHeight="1">
      <c r="A463" s="95"/>
      <c r="B463" s="95"/>
    </row>
    <row r="464" ht="13.5" customHeight="1">
      <c r="A464" s="95"/>
      <c r="B464" s="95"/>
    </row>
    <row r="465" ht="13.5" customHeight="1">
      <c r="A465" s="95"/>
      <c r="B465" s="95"/>
    </row>
    <row r="466" ht="13.5" customHeight="1">
      <c r="A466" s="95"/>
      <c r="B466" s="95"/>
    </row>
    <row r="467" ht="13.5" customHeight="1">
      <c r="A467" s="95"/>
      <c r="B467" s="95"/>
    </row>
    <row r="468" ht="13.5" customHeight="1">
      <c r="A468" s="95"/>
      <c r="B468" s="95"/>
    </row>
    <row r="469" ht="13.5" customHeight="1">
      <c r="A469" s="95"/>
      <c r="B469" s="95"/>
    </row>
    <row r="470" ht="13.5" customHeight="1">
      <c r="A470" s="95"/>
      <c r="B470" s="95"/>
    </row>
    <row r="471" ht="13.5" customHeight="1">
      <c r="A471" s="95"/>
      <c r="B471" s="95"/>
    </row>
    <row r="472" ht="13.5" customHeight="1">
      <c r="A472" s="95"/>
      <c r="B472" s="95"/>
    </row>
    <row r="473" ht="13.5" customHeight="1">
      <c r="A473" s="95"/>
      <c r="B473" s="95"/>
    </row>
    <row r="474" ht="13.5" customHeight="1">
      <c r="A474" s="95"/>
      <c r="B474" s="95"/>
    </row>
    <row r="475" ht="13.5" customHeight="1">
      <c r="A475" s="95"/>
      <c r="B475" s="95"/>
    </row>
    <row r="476" ht="13.5" customHeight="1">
      <c r="A476" s="95"/>
      <c r="B476" s="95"/>
    </row>
    <row r="477" ht="13.5" customHeight="1">
      <c r="A477" s="95"/>
      <c r="B477" s="95"/>
    </row>
    <row r="478" ht="13.5" customHeight="1">
      <c r="A478" s="95"/>
      <c r="B478" s="95"/>
    </row>
    <row r="479" ht="13.5" customHeight="1">
      <c r="A479" s="95"/>
      <c r="B479" s="95"/>
    </row>
    <row r="480" ht="13.5" customHeight="1">
      <c r="A480" s="95"/>
      <c r="B480" s="95"/>
    </row>
    <row r="481" ht="13.5" customHeight="1">
      <c r="A481" s="95"/>
      <c r="B481" s="95"/>
    </row>
    <row r="482" ht="13.5" customHeight="1">
      <c r="A482" s="95"/>
      <c r="B482" s="95"/>
    </row>
    <row r="483" ht="13.5" customHeight="1">
      <c r="A483" s="95"/>
      <c r="B483" s="95"/>
    </row>
    <row r="484" ht="13.5" customHeight="1">
      <c r="A484" s="95"/>
      <c r="B484" s="95"/>
    </row>
    <row r="485" ht="13.5" customHeight="1">
      <c r="A485" s="95"/>
      <c r="B485" s="95"/>
    </row>
    <row r="486" ht="13.5" customHeight="1">
      <c r="A486" s="95"/>
      <c r="B486" s="95"/>
    </row>
    <row r="487" ht="13.5" customHeight="1">
      <c r="A487" s="95"/>
      <c r="B487" s="95"/>
    </row>
    <row r="488" ht="13.5" customHeight="1">
      <c r="A488" s="95"/>
      <c r="B488" s="95"/>
    </row>
    <row r="489" ht="13.5" customHeight="1">
      <c r="A489" s="95"/>
      <c r="B489" s="95"/>
    </row>
    <row r="490" ht="13.5" customHeight="1">
      <c r="A490" s="95"/>
      <c r="B490" s="95"/>
    </row>
    <row r="491" ht="13.5" customHeight="1">
      <c r="A491" s="95"/>
      <c r="B491" s="95"/>
    </row>
    <row r="492" ht="13.5" customHeight="1">
      <c r="A492" s="95"/>
      <c r="B492" s="95"/>
    </row>
    <row r="493" ht="13.5" customHeight="1">
      <c r="A493" s="95"/>
      <c r="B493" s="95"/>
    </row>
    <row r="494" ht="13.5" customHeight="1">
      <c r="A494" s="95"/>
      <c r="B494" s="95"/>
    </row>
    <row r="495" ht="13.5" customHeight="1">
      <c r="A495" s="95"/>
      <c r="B495" s="95"/>
    </row>
    <row r="496" ht="13.5" customHeight="1">
      <c r="A496" s="95"/>
      <c r="B496" s="95"/>
    </row>
    <row r="497" ht="13.5" customHeight="1">
      <c r="A497" s="95"/>
      <c r="B497" s="95"/>
    </row>
    <row r="498" ht="13.5" customHeight="1">
      <c r="A498" s="95"/>
      <c r="B498" s="95"/>
    </row>
    <row r="499" ht="13.5" customHeight="1">
      <c r="A499" s="95"/>
      <c r="B499" s="95"/>
    </row>
    <row r="500" ht="13.5" customHeight="1">
      <c r="A500" s="95"/>
      <c r="B500" s="95"/>
    </row>
    <row r="501" ht="13.5" customHeight="1">
      <c r="A501" s="95"/>
      <c r="B501" s="95"/>
    </row>
    <row r="502" ht="13.5" customHeight="1">
      <c r="A502" s="95"/>
      <c r="B502" s="95"/>
    </row>
    <row r="503" ht="13.5" customHeight="1">
      <c r="A503" s="95"/>
      <c r="B503" s="95"/>
    </row>
    <row r="504" ht="13.5" customHeight="1">
      <c r="A504" s="95"/>
      <c r="B504" s="95"/>
    </row>
    <row r="505" ht="13.5" customHeight="1">
      <c r="A505" s="95"/>
      <c r="B505" s="95"/>
    </row>
    <row r="506" ht="13.5" customHeight="1">
      <c r="A506" s="95"/>
      <c r="B506" s="95"/>
    </row>
    <row r="507" ht="13.5" customHeight="1">
      <c r="A507" s="95"/>
      <c r="B507" s="95"/>
    </row>
    <row r="508" ht="13.5" customHeight="1">
      <c r="A508" s="95"/>
      <c r="B508" s="95"/>
    </row>
    <row r="509" ht="13.5" customHeight="1">
      <c r="A509" s="95"/>
      <c r="B509" s="95"/>
    </row>
    <row r="510" ht="13.5" customHeight="1">
      <c r="A510" s="95"/>
      <c r="B510" s="95"/>
    </row>
    <row r="511" ht="13.5" customHeight="1">
      <c r="A511" s="95"/>
      <c r="B511" s="95"/>
    </row>
    <row r="512" ht="13.5" customHeight="1">
      <c r="A512" s="95"/>
      <c r="B512" s="95"/>
    </row>
    <row r="513" ht="13.5" customHeight="1">
      <c r="A513" s="95"/>
      <c r="B513" s="95"/>
    </row>
    <row r="514" ht="13.5" customHeight="1">
      <c r="A514" s="95"/>
      <c r="B514" s="95"/>
    </row>
    <row r="515" ht="13.5" customHeight="1">
      <c r="A515" s="95"/>
      <c r="B515" s="95"/>
    </row>
    <row r="516" ht="13.5" customHeight="1">
      <c r="A516" s="95"/>
      <c r="B516" s="95"/>
    </row>
    <row r="517" ht="13.5" customHeight="1">
      <c r="A517" s="95"/>
      <c r="B517" s="95"/>
    </row>
    <row r="518" ht="13.5" customHeight="1">
      <c r="A518" s="95"/>
      <c r="B518" s="95"/>
    </row>
    <row r="519" ht="13.5" customHeight="1">
      <c r="A519" s="95"/>
      <c r="B519" s="95"/>
    </row>
    <row r="520" ht="13.5" customHeight="1">
      <c r="A520" s="95"/>
      <c r="B520" s="95"/>
    </row>
    <row r="521" ht="13.5" customHeight="1">
      <c r="A521" s="95"/>
      <c r="B521" s="95"/>
    </row>
    <row r="522" ht="13.5" customHeight="1">
      <c r="A522" s="95"/>
      <c r="B522" s="95"/>
    </row>
    <row r="523" ht="13.5" customHeight="1">
      <c r="A523" s="95"/>
      <c r="B523" s="95"/>
    </row>
    <row r="524" ht="13.5" customHeight="1">
      <c r="A524" s="95"/>
      <c r="B524" s="95"/>
    </row>
    <row r="525" ht="13.5" customHeight="1">
      <c r="A525" s="95"/>
      <c r="B525" s="95"/>
    </row>
    <row r="526" ht="13.5" customHeight="1">
      <c r="A526" s="95"/>
      <c r="B526" s="95"/>
    </row>
    <row r="527" ht="13.5" customHeight="1">
      <c r="A527" s="95"/>
      <c r="B527" s="95"/>
    </row>
    <row r="528" ht="13.5" customHeight="1">
      <c r="A528" s="95"/>
      <c r="B528" s="95"/>
    </row>
    <row r="529" ht="13.5" customHeight="1">
      <c r="A529" s="95"/>
      <c r="B529" s="95"/>
    </row>
    <row r="530" ht="13.5" customHeight="1">
      <c r="A530" s="95"/>
      <c r="B530" s="95"/>
    </row>
    <row r="531" ht="13.5" customHeight="1">
      <c r="A531" s="95"/>
      <c r="B531" s="95"/>
    </row>
    <row r="532" ht="13.5" customHeight="1">
      <c r="A532" s="95"/>
      <c r="B532" s="95"/>
    </row>
    <row r="533" ht="13.5" customHeight="1">
      <c r="A533" s="95"/>
      <c r="B533" s="95"/>
    </row>
    <row r="534" ht="13.5" customHeight="1">
      <c r="A534" s="95"/>
      <c r="B534" s="95"/>
    </row>
    <row r="535" ht="13.5" customHeight="1">
      <c r="A535" s="95"/>
      <c r="B535" s="95"/>
    </row>
    <row r="536" ht="13.5" customHeight="1">
      <c r="A536" s="95"/>
      <c r="B536" s="95"/>
    </row>
    <row r="537" ht="13.5" customHeight="1">
      <c r="A537" s="95"/>
      <c r="B537" s="95"/>
    </row>
    <row r="538" ht="13.5" customHeight="1">
      <c r="A538" s="95"/>
      <c r="B538" s="95"/>
    </row>
    <row r="539" ht="13.5" customHeight="1">
      <c r="A539" s="95"/>
      <c r="B539" s="95"/>
    </row>
    <row r="540" ht="13.5" customHeight="1">
      <c r="A540" s="95"/>
      <c r="B540" s="95"/>
    </row>
    <row r="541" ht="13.5" customHeight="1">
      <c r="A541" s="95"/>
      <c r="B541" s="95"/>
    </row>
    <row r="542" ht="13.5" customHeight="1">
      <c r="A542" s="95"/>
      <c r="B542" s="95"/>
    </row>
    <row r="543" ht="13.5" customHeight="1">
      <c r="A543" s="95"/>
      <c r="B543" s="95"/>
    </row>
    <row r="544" ht="13.5" customHeight="1">
      <c r="A544" s="95"/>
      <c r="B544" s="95"/>
    </row>
    <row r="545" ht="13.5" customHeight="1">
      <c r="A545" s="95"/>
      <c r="B545" s="95"/>
    </row>
    <row r="546" ht="13.5" customHeight="1">
      <c r="A546" s="95"/>
      <c r="B546" s="95"/>
    </row>
    <row r="547" ht="13.5" customHeight="1">
      <c r="A547" s="95"/>
      <c r="B547" s="95"/>
    </row>
    <row r="548" ht="13.5" customHeight="1">
      <c r="A548" s="95"/>
      <c r="B548" s="95"/>
    </row>
    <row r="549" ht="13.5" customHeight="1">
      <c r="A549" s="95"/>
      <c r="B549" s="95"/>
    </row>
    <row r="550" ht="13.5" customHeight="1">
      <c r="A550" s="95"/>
      <c r="B550" s="95"/>
    </row>
    <row r="551" ht="13.5" customHeight="1">
      <c r="A551" s="95"/>
      <c r="B551" s="95"/>
    </row>
    <row r="552" ht="13.5" customHeight="1">
      <c r="A552" s="95"/>
      <c r="B552" s="95"/>
    </row>
    <row r="553" ht="13.5" customHeight="1">
      <c r="A553" s="95"/>
      <c r="B553" s="95"/>
    </row>
    <row r="554" ht="13.5" customHeight="1">
      <c r="A554" s="95"/>
      <c r="B554" s="95"/>
    </row>
    <row r="555" ht="13.5" customHeight="1">
      <c r="A555" s="95"/>
      <c r="B555" s="95"/>
    </row>
    <row r="556" ht="13.5" customHeight="1">
      <c r="A556" s="95"/>
      <c r="B556" s="95"/>
    </row>
    <row r="557" ht="13.5" customHeight="1">
      <c r="A557" s="95"/>
      <c r="B557" s="95"/>
    </row>
    <row r="558" ht="13.5" customHeight="1">
      <c r="A558" s="95"/>
      <c r="B558" s="95"/>
    </row>
    <row r="559" ht="13.5" customHeight="1">
      <c r="A559" s="95"/>
      <c r="B559" s="95"/>
    </row>
    <row r="560" ht="13.5" customHeight="1">
      <c r="A560" s="95"/>
      <c r="B560" s="95"/>
    </row>
    <row r="561" ht="13.5" customHeight="1">
      <c r="A561" s="95"/>
      <c r="B561" s="95"/>
    </row>
    <row r="562" ht="13.5" customHeight="1">
      <c r="A562" s="95"/>
      <c r="B562" s="95"/>
    </row>
    <row r="563" ht="13.5" customHeight="1">
      <c r="A563" s="95"/>
      <c r="B563" s="95"/>
    </row>
    <row r="564" ht="13.5" customHeight="1">
      <c r="A564" s="95"/>
      <c r="B564" s="95"/>
    </row>
    <row r="565" ht="13.5" customHeight="1">
      <c r="A565" s="95"/>
      <c r="B565" s="95"/>
    </row>
    <row r="566" ht="13.5" customHeight="1">
      <c r="A566" s="95"/>
      <c r="B566" s="95"/>
    </row>
    <row r="567" ht="13.5" customHeight="1">
      <c r="A567" s="95"/>
      <c r="B567" s="95"/>
    </row>
    <row r="568" ht="13.5" customHeight="1">
      <c r="A568" s="95"/>
      <c r="B568" s="95"/>
    </row>
    <row r="569" ht="13.5" customHeight="1">
      <c r="A569" s="95"/>
      <c r="B569" s="95"/>
    </row>
    <row r="570" ht="13.5" customHeight="1">
      <c r="A570" s="95"/>
      <c r="B570" s="95"/>
    </row>
    <row r="571" ht="13.5" customHeight="1">
      <c r="A571" s="95"/>
      <c r="B571" s="95"/>
    </row>
    <row r="572" ht="13.5" customHeight="1">
      <c r="A572" s="95"/>
      <c r="B572" s="95"/>
    </row>
    <row r="573" ht="13.5" customHeight="1">
      <c r="A573" s="95"/>
      <c r="B573" s="95"/>
    </row>
    <row r="574" ht="13.5" customHeight="1">
      <c r="A574" s="95"/>
      <c r="B574" s="95"/>
    </row>
    <row r="575" ht="13.5" customHeight="1">
      <c r="A575" s="95"/>
      <c r="B575" s="95"/>
    </row>
    <row r="576" ht="13.5" customHeight="1">
      <c r="A576" s="95"/>
      <c r="B576" s="95"/>
    </row>
    <row r="577" ht="13.5" customHeight="1">
      <c r="A577" s="95"/>
      <c r="B577" s="95"/>
    </row>
    <row r="578" ht="13.5" customHeight="1">
      <c r="A578" s="95"/>
      <c r="B578" s="95"/>
    </row>
    <row r="579" ht="13.5" customHeight="1">
      <c r="A579" s="95"/>
      <c r="B579" s="95"/>
    </row>
    <row r="580" ht="13.5" customHeight="1">
      <c r="A580" s="95"/>
      <c r="B580" s="95"/>
    </row>
    <row r="581" ht="13.5" customHeight="1">
      <c r="A581" s="95"/>
      <c r="B581" s="95"/>
    </row>
    <row r="582" ht="13.5" customHeight="1">
      <c r="A582" s="95"/>
      <c r="B582" s="95"/>
    </row>
    <row r="583" ht="13.5" customHeight="1">
      <c r="A583" s="95"/>
      <c r="B583" s="95"/>
    </row>
    <row r="584" ht="13.5" customHeight="1">
      <c r="A584" s="95"/>
      <c r="B584" s="95"/>
    </row>
    <row r="585" ht="13.5" customHeight="1">
      <c r="A585" s="95"/>
      <c r="B585" s="95"/>
    </row>
    <row r="586" ht="13.5" customHeight="1">
      <c r="A586" s="95"/>
      <c r="B586" s="95"/>
    </row>
    <row r="587" ht="13.5" customHeight="1">
      <c r="A587" s="95"/>
      <c r="B587" s="95"/>
    </row>
    <row r="588" ht="13.5" customHeight="1">
      <c r="A588" s="95"/>
      <c r="B588" s="95"/>
    </row>
    <row r="589" ht="13.5" customHeight="1">
      <c r="A589" s="95"/>
      <c r="B589" s="95"/>
    </row>
    <row r="590" ht="13.5" customHeight="1">
      <c r="A590" s="95"/>
      <c r="B590" s="95"/>
    </row>
    <row r="591" ht="13.5" customHeight="1">
      <c r="A591" s="95"/>
      <c r="B591" s="95"/>
    </row>
    <row r="592" ht="13.5" customHeight="1">
      <c r="A592" s="95"/>
      <c r="B592" s="95"/>
    </row>
    <row r="593" ht="13.5" customHeight="1">
      <c r="A593" s="95"/>
      <c r="B593" s="95"/>
    </row>
    <row r="594" ht="13.5" customHeight="1">
      <c r="A594" s="95"/>
      <c r="B594" s="95"/>
    </row>
    <row r="595" ht="13.5" customHeight="1">
      <c r="A595" s="95"/>
      <c r="B595" s="95"/>
    </row>
    <row r="596" ht="13.5" customHeight="1">
      <c r="A596" s="95"/>
      <c r="B596" s="95"/>
    </row>
    <row r="597" ht="13.5" customHeight="1">
      <c r="A597" s="95"/>
      <c r="B597" s="95"/>
    </row>
    <row r="598" ht="13.5" customHeight="1">
      <c r="A598" s="95"/>
      <c r="B598" s="95"/>
    </row>
    <row r="599" ht="13.5" customHeight="1">
      <c r="A599" s="95"/>
      <c r="B599" s="95"/>
    </row>
    <row r="600" ht="13.5" customHeight="1">
      <c r="A600" s="95"/>
      <c r="B600" s="95"/>
    </row>
    <row r="601" ht="13.5" customHeight="1">
      <c r="A601" s="95"/>
      <c r="B601" s="95"/>
    </row>
    <row r="602" ht="13.5" customHeight="1">
      <c r="A602" s="95"/>
      <c r="B602" s="95"/>
    </row>
    <row r="603" ht="13.5" customHeight="1">
      <c r="A603" s="95"/>
      <c r="B603" s="95"/>
    </row>
    <row r="604" ht="13.5" customHeight="1">
      <c r="A604" s="95"/>
      <c r="B604" s="95"/>
    </row>
    <row r="605" ht="13.5" customHeight="1">
      <c r="A605" s="95"/>
      <c r="B605" s="95"/>
    </row>
    <row r="606" ht="13.5" customHeight="1">
      <c r="A606" s="95"/>
      <c r="B606" s="95"/>
    </row>
    <row r="607" ht="13.5" customHeight="1">
      <c r="A607" s="95"/>
      <c r="B607" s="95"/>
    </row>
    <row r="608" ht="13.5" customHeight="1">
      <c r="A608" s="95"/>
      <c r="B608" s="95"/>
    </row>
    <row r="609" ht="13.5" customHeight="1">
      <c r="A609" s="95"/>
      <c r="B609" s="95"/>
    </row>
    <row r="610" ht="13.5" customHeight="1">
      <c r="A610" s="95"/>
      <c r="B610" s="95"/>
    </row>
    <row r="611" ht="13.5" customHeight="1">
      <c r="A611" s="95"/>
      <c r="B611" s="95"/>
    </row>
    <row r="612" ht="13.5" customHeight="1">
      <c r="A612" s="95"/>
      <c r="B612" s="95"/>
    </row>
    <row r="613" ht="13.5" customHeight="1">
      <c r="A613" s="95"/>
      <c r="B613" s="95"/>
    </row>
    <row r="614" ht="13.5" customHeight="1">
      <c r="A614" s="95"/>
      <c r="B614" s="95"/>
    </row>
    <row r="615" ht="13.5" customHeight="1">
      <c r="A615" s="95"/>
      <c r="B615" s="95"/>
    </row>
    <row r="616" ht="13.5" customHeight="1">
      <c r="A616" s="95"/>
      <c r="B616" s="95"/>
    </row>
    <row r="617" ht="13.5" customHeight="1">
      <c r="A617" s="95"/>
      <c r="B617" s="95"/>
    </row>
    <row r="618" ht="13.5" customHeight="1">
      <c r="A618" s="95"/>
      <c r="B618" s="95"/>
    </row>
    <row r="619" ht="13.5" customHeight="1">
      <c r="A619" s="95"/>
      <c r="B619" s="95"/>
    </row>
    <row r="620" ht="13.5" customHeight="1">
      <c r="A620" s="95"/>
      <c r="B620" s="95"/>
    </row>
    <row r="621" ht="13.5" customHeight="1">
      <c r="A621" s="95"/>
      <c r="B621" s="95"/>
    </row>
    <row r="622" ht="13.5" customHeight="1">
      <c r="A622" s="95"/>
      <c r="B622" s="95"/>
    </row>
    <row r="623" ht="13.5" customHeight="1">
      <c r="A623" s="95"/>
      <c r="B623" s="95"/>
    </row>
    <row r="624" ht="13.5" customHeight="1">
      <c r="A624" s="95"/>
      <c r="B624" s="95"/>
    </row>
    <row r="625" ht="13.5" customHeight="1">
      <c r="A625" s="95"/>
      <c r="B625" s="95"/>
    </row>
    <row r="626" ht="13.5" customHeight="1">
      <c r="A626" s="95"/>
      <c r="B626" s="95"/>
    </row>
    <row r="627" ht="13.5" customHeight="1">
      <c r="A627" s="95"/>
      <c r="B627" s="95"/>
    </row>
    <row r="628" ht="13.5" customHeight="1">
      <c r="A628" s="95"/>
      <c r="B628" s="95"/>
    </row>
    <row r="629" ht="13.5" customHeight="1">
      <c r="A629" s="95"/>
      <c r="B629" s="95"/>
    </row>
    <row r="630" ht="13.5" customHeight="1">
      <c r="A630" s="95"/>
      <c r="B630" s="95"/>
    </row>
    <row r="631" ht="13.5" customHeight="1">
      <c r="A631" s="95"/>
      <c r="B631" s="95"/>
    </row>
    <row r="632" ht="13.5" customHeight="1">
      <c r="A632" s="95"/>
      <c r="B632" s="95"/>
    </row>
    <row r="633" ht="13.5" customHeight="1">
      <c r="A633" s="95"/>
      <c r="B633" s="95"/>
    </row>
    <row r="634" ht="13.5" customHeight="1">
      <c r="A634" s="95"/>
      <c r="B634" s="95"/>
    </row>
    <row r="635" ht="13.5" customHeight="1">
      <c r="A635" s="95"/>
      <c r="B635" s="95"/>
    </row>
    <row r="636" ht="13.5" customHeight="1">
      <c r="A636" s="95"/>
      <c r="B636" s="95"/>
    </row>
    <row r="637" ht="13.5" customHeight="1">
      <c r="A637" s="95"/>
      <c r="B637" s="95"/>
    </row>
    <row r="638" ht="13.5" customHeight="1">
      <c r="A638" s="95"/>
      <c r="B638" s="95"/>
    </row>
    <row r="639" ht="13.5" customHeight="1">
      <c r="A639" s="95"/>
      <c r="B639" s="95"/>
    </row>
    <row r="640" ht="13.5" customHeight="1">
      <c r="A640" s="95"/>
      <c r="B640" s="95"/>
    </row>
    <row r="641" ht="13.5" customHeight="1">
      <c r="A641" s="95"/>
      <c r="B641" s="95"/>
    </row>
    <row r="642" ht="13.5" customHeight="1">
      <c r="A642" s="95"/>
      <c r="B642" s="95"/>
    </row>
    <row r="643" ht="13.5" customHeight="1">
      <c r="A643" s="95"/>
      <c r="B643" s="95"/>
    </row>
    <row r="644" ht="13.5" customHeight="1">
      <c r="A644" s="95"/>
      <c r="B644" s="95"/>
    </row>
    <row r="645" ht="13.5" customHeight="1">
      <c r="A645" s="95"/>
      <c r="B645" s="95"/>
    </row>
    <row r="646" ht="13.5" customHeight="1">
      <c r="A646" s="95"/>
      <c r="B646" s="95"/>
    </row>
    <row r="647" ht="13.5" customHeight="1">
      <c r="A647" s="95"/>
      <c r="B647" s="95"/>
    </row>
    <row r="648" ht="13.5" customHeight="1">
      <c r="A648" s="95"/>
      <c r="B648" s="95"/>
    </row>
    <row r="649" ht="13.5" customHeight="1">
      <c r="A649" s="95"/>
      <c r="B649" s="95"/>
    </row>
    <row r="650" ht="13.5" customHeight="1">
      <c r="A650" s="95"/>
      <c r="B650" s="95"/>
    </row>
    <row r="651" ht="13.5" customHeight="1">
      <c r="A651" s="95"/>
      <c r="B651" s="95"/>
    </row>
    <row r="652" ht="13.5" customHeight="1">
      <c r="A652" s="95"/>
      <c r="B652" s="95"/>
    </row>
    <row r="653" ht="13.5" customHeight="1">
      <c r="A653" s="95"/>
      <c r="B653" s="95"/>
    </row>
    <row r="654" ht="13.5" customHeight="1">
      <c r="A654" s="95"/>
      <c r="B654" s="95"/>
    </row>
    <row r="655" ht="13.5" customHeight="1">
      <c r="A655" s="95"/>
      <c r="B655" s="95"/>
    </row>
    <row r="656" ht="13.5" customHeight="1">
      <c r="A656" s="95"/>
      <c r="B656" s="95"/>
    </row>
    <row r="657" ht="13.5" customHeight="1">
      <c r="A657" s="95"/>
      <c r="B657" s="95"/>
    </row>
    <row r="658" ht="13.5" customHeight="1">
      <c r="A658" s="95"/>
      <c r="B658" s="95"/>
    </row>
    <row r="659" ht="13.5" customHeight="1">
      <c r="A659" s="95"/>
      <c r="B659" s="95"/>
    </row>
    <row r="660" ht="13.5" customHeight="1">
      <c r="A660" s="95"/>
      <c r="B660" s="95"/>
    </row>
    <row r="661" ht="13.5" customHeight="1">
      <c r="A661" s="95"/>
      <c r="B661" s="95"/>
    </row>
    <row r="662" ht="13.5" customHeight="1">
      <c r="A662" s="95"/>
      <c r="B662" s="95"/>
    </row>
    <row r="663" ht="13.5" customHeight="1">
      <c r="A663" s="95"/>
      <c r="B663" s="95"/>
    </row>
    <row r="664" ht="13.5" customHeight="1">
      <c r="A664" s="95"/>
      <c r="B664" s="95"/>
    </row>
    <row r="665" ht="13.5" customHeight="1">
      <c r="A665" s="95"/>
      <c r="B665" s="95"/>
    </row>
    <row r="666" ht="13.5" customHeight="1">
      <c r="A666" s="95"/>
      <c r="B666" s="95"/>
    </row>
    <row r="667" ht="13.5" customHeight="1">
      <c r="A667" s="95"/>
      <c r="B667" s="95"/>
    </row>
    <row r="668" ht="13.5" customHeight="1">
      <c r="A668" s="95"/>
      <c r="B668" s="95"/>
    </row>
    <row r="669" ht="13.5" customHeight="1">
      <c r="A669" s="95"/>
      <c r="B669" s="95"/>
    </row>
    <row r="670" ht="13.5" customHeight="1">
      <c r="A670" s="95"/>
      <c r="B670" s="95"/>
    </row>
    <row r="671" ht="13.5" customHeight="1">
      <c r="A671" s="95"/>
      <c r="B671" s="95"/>
    </row>
    <row r="672" ht="13.5" customHeight="1">
      <c r="A672" s="95"/>
      <c r="B672" s="95"/>
    </row>
    <row r="673" ht="13.5" customHeight="1">
      <c r="A673" s="95"/>
      <c r="B673" s="95"/>
    </row>
    <row r="674" ht="13.5" customHeight="1">
      <c r="A674" s="95"/>
      <c r="B674" s="95"/>
    </row>
    <row r="675" ht="13.5" customHeight="1">
      <c r="A675" s="95"/>
      <c r="B675" s="95"/>
    </row>
    <row r="676" ht="13.5" customHeight="1">
      <c r="A676" s="95"/>
      <c r="B676" s="95"/>
    </row>
    <row r="677" ht="13.5" customHeight="1">
      <c r="A677" s="95"/>
      <c r="B677" s="95"/>
    </row>
    <row r="678" ht="13.5" customHeight="1">
      <c r="A678" s="95"/>
      <c r="B678" s="95"/>
    </row>
    <row r="679" ht="13.5" customHeight="1">
      <c r="A679" s="95"/>
      <c r="B679" s="95"/>
    </row>
    <row r="680" ht="13.5" customHeight="1">
      <c r="A680" s="95"/>
      <c r="B680" s="95"/>
    </row>
    <row r="681" ht="13.5" customHeight="1">
      <c r="A681" s="95"/>
      <c r="B681" s="95"/>
    </row>
    <row r="682" ht="13.5" customHeight="1">
      <c r="A682" s="95"/>
      <c r="B682" s="95"/>
    </row>
    <row r="683" ht="13.5" customHeight="1">
      <c r="A683" s="95"/>
      <c r="B683" s="95"/>
    </row>
    <row r="684" ht="13.5" customHeight="1">
      <c r="A684" s="95"/>
      <c r="B684" s="95"/>
    </row>
    <row r="685" ht="13.5" customHeight="1">
      <c r="A685" s="95"/>
      <c r="B685" s="95"/>
    </row>
    <row r="686" ht="13.5" customHeight="1">
      <c r="A686" s="95"/>
      <c r="B686" s="95"/>
    </row>
    <row r="687" ht="13.5" customHeight="1">
      <c r="A687" s="95"/>
      <c r="B687" s="95"/>
    </row>
    <row r="688" ht="13.5" customHeight="1">
      <c r="A688" s="95"/>
      <c r="B688" s="95"/>
    </row>
    <row r="689" ht="13.5" customHeight="1">
      <c r="A689" s="95"/>
      <c r="B689" s="95"/>
    </row>
    <row r="690" ht="13.5" customHeight="1">
      <c r="A690" s="95"/>
      <c r="B690" s="95"/>
    </row>
    <row r="691" ht="13.5" customHeight="1">
      <c r="A691" s="95"/>
      <c r="B691" s="95"/>
    </row>
    <row r="692" ht="13.5" customHeight="1">
      <c r="A692" s="95"/>
      <c r="B692" s="95"/>
    </row>
    <row r="693" ht="13.5" customHeight="1">
      <c r="A693" s="95"/>
      <c r="B693" s="95"/>
    </row>
    <row r="694" ht="13.5" customHeight="1">
      <c r="A694" s="95"/>
      <c r="B694" s="95"/>
    </row>
    <row r="695" ht="13.5" customHeight="1">
      <c r="A695" s="95"/>
      <c r="B695" s="95"/>
    </row>
    <row r="696" ht="13.5" customHeight="1">
      <c r="A696" s="95"/>
      <c r="B696" s="95"/>
    </row>
    <row r="697" ht="13.5" customHeight="1">
      <c r="A697" s="95"/>
      <c r="B697" s="95"/>
    </row>
    <row r="698" ht="13.5" customHeight="1">
      <c r="A698" s="95"/>
      <c r="B698" s="95"/>
    </row>
    <row r="699" ht="13.5" customHeight="1">
      <c r="A699" s="95"/>
      <c r="B699" s="95"/>
    </row>
    <row r="700" ht="13.5" customHeight="1">
      <c r="A700" s="95"/>
      <c r="B700" s="95"/>
    </row>
    <row r="701" ht="13.5" customHeight="1">
      <c r="A701" s="95"/>
      <c r="B701" s="95"/>
    </row>
    <row r="702" ht="13.5" customHeight="1">
      <c r="A702" s="95"/>
      <c r="B702" s="95"/>
    </row>
    <row r="703" ht="13.5" customHeight="1">
      <c r="A703" s="95"/>
      <c r="B703" s="95"/>
    </row>
    <row r="704" ht="13.5" customHeight="1">
      <c r="A704" s="95"/>
      <c r="B704" s="95"/>
    </row>
    <row r="705" ht="13.5" customHeight="1">
      <c r="A705" s="95"/>
      <c r="B705" s="95"/>
    </row>
    <row r="706" ht="13.5" customHeight="1">
      <c r="A706" s="95"/>
      <c r="B706" s="95"/>
    </row>
    <row r="707" ht="13.5" customHeight="1">
      <c r="A707" s="95"/>
      <c r="B707" s="95"/>
    </row>
    <row r="708" ht="13.5" customHeight="1">
      <c r="A708" s="95"/>
      <c r="B708" s="95"/>
    </row>
    <row r="709" ht="13.5" customHeight="1">
      <c r="A709" s="95"/>
      <c r="B709" s="95"/>
    </row>
    <row r="710" ht="13.5" customHeight="1">
      <c r="A710" s="95"/>
      <c r="B710" s="95"/>
    </row>
    <row r="711" ht="13.5" customHeight="1">
      <c r="A711" s="95"/>
      <c r="B711" s="95"/>
    </row>
    <row r="712" ht="13.5" customHeight="1">
      <c r="A712" s="95"/>
      <c r="B712" s="95"/>
    </row>
    <row r="713" ht="13.5" customHeight="1">
      <c r="A713" s="95"/>
      <c r="B713" s="95"/>
    </row>
    <row r="714" ht="13.5" customHeight="1">
      <c r="A714" s="95"/>
      <c r="B714" s="95"/>
    </row>
    <row r="715" ht="13.5" customHeight="1">
      <c r="A715" s="95"/>
      <c r="B715" s="95"/>
    </row>
    <row r="716" ht="13.5" customHeight="1">
      <c r="A716" s="95"/>
      <c r="B716" s="95"/>
    </row>
    <row r="717" ht="13.5" customHeight="1">
      <c r="A717" s="95"/>
      <c r="B717" s="95"/>
    </row>
    <row r="718" ht="13.5" customHeight="1">
      <c r="A718" s="95"/>
      <c r="B718" s="95"/>
    </row>
    <row r="719" ht="13.5" customHeight="1">
      <c r="A719" s="95"/>
      <c r="B719" s="95"/>
    </row>
    <row r="720" ht="13.5" customHeight="1">
      <c r="A720" s="95"/>
      <c r="B720" s="95"/>
    </row>
    <row r="721" ht="13.5" customHeight="1">
      <c r="A721" s="95"/>
      <c r="B721" s="95"/>
    </row>
    <row r="722" ht="13.5" customHeight="1">
      <c r="A722" s="95"/>
      <c r="B722" s="95"/>
    </row>
    <row r="723" ht="13.5" customHeight="1">
      <c r="A723" s="95"/>
      <c r="B723" s="95"/>
    </row>
    <row r="724" ht="13.5" customHeight="1">
      <c r="A724" s="95"/>
      <c r="B724" s="95"/>
    </row>
    <row r="725" ht="13.5" customHeight="1">
      <c r="A725" s="95"/>
      <c r="B725" s="95"/>
    </row>
    <row r="726" ht="13.5" customHeight="1">
      <c r="A726" s="95"/>
      <c r="B726" s="95"/>
    </row>
    <row r="727" ht="13.5" customHeight="1">
      <c r="A727" s="95"/>
      <c r="B727" s="95"/>
    </row>
    <row r="728" ht="13.5" customHeight="1">
      <c r="A728" s="95"/>
      <c r="B728" s="95"/>
    </row>
    <row r="729" ht="13.5" customHeight="1">
      <c r="A729" s="95"/>
      <c r="B729" s="95"/>
    </row>
    <row r="730" ht="13.5" customHeight="1">
      <c r="A730" s="95"/>
      <c r="B730" s="95"/>
    </row>
    <row r="731" ht="13.5" customHeight="1">
      <c r="A731" s="95"/>
      <c r="B731" s="95"/>
    </row>
    <row r="732" ht="13.5" customHeight="1">
      <c r="A732" s="95"/>
      <c r="B732" s="95"/>
    </row>
    <row r="733" ht="13.5" customHeight="1">
      <c r="A733" s="95"/>
      <c r="B733" s="95"/>
    </row>
    <row r="734" ht="13.5" customHeight="1">
      <c r="A734" s="95"/>
      <c r="B734" s="95"/>
    </row>
    <row r="735" ht="13.5" customHeight="1">
      <c r="A735" s="95"/>
      <c r="B735" s="95"/>
    </row>
    <row r="736" ht="13.5" customHeight="1">
      <c r="A736" s="95"/>
      <c r="B736" s="95"/>
    </row>
    <row r="737" ht="13.5" customHeight="1">
      <c r="A737" s="95"/>
      <c r="B737" s="95"/>
    </row>
    <row r="738" ht="13.5" customHeight="1">
      <c r="A738" s="95"/>
      <c r="B738" s="95"/>
    </row>
    <row r="739" ht="13.5" customHeight="1">
      <c r="A739" s="95"/>
      <c r="B739" s="95"/>
    </row>
    <row r="740" ht="13.5" customHeight="1">
      <c r="A740" s="95"/>
      <c r="B740" s="95"/>
    </row>
    <row r="741" ht="13.5" customHeight="1">
      <c r="A741" s="95"/>
      <c r="B741" s="95"/>
    </row>
    <row r="742" ht="13.5" customHeight="1">
      <c r="A742" s="95"/>
      <c r="B742" s="95"/>
    </row>
    <row r="743" ht="13.5" customHeight="1">
      <c r="A743" s="95"/>
      <c r="B743" s="95"/>
    </row>
    <row r="744" ht="13.5" customHeight="1">
      <c r="A744" s="95"/>
      <c r="B744" s="95"/>
    </row>
    <row r="745" ht="13.5" customHeight="1">
      <c r="A745" s="95"/>
      <c r="B745" s="95"/>
    </row>
    <row r="746" ht="13.5" customHeight="1">
      <c r="A746" s="95"/>
      <c r="B746" s="95"/>
    </row>
    <row r="747" ht="13.5" customHeight="1">
      <c r="A747" s="95"/>
      <c r="B747" s="95"/>
    </row>
    <row r="748" ht="13.5" customHeight="1">
      <c r="A748" s="95"/>
      <c r="B748" s="95"/>
    </row>
    <row r="749" ht="13.5" customHeight="1">
      <c r="A749" s="95"/>
      <c r="B749" s="95"/>
    </row>
    <row r="750" ht="13.5" customHeight="1">
      <c r="A750" s="95"/>
      <c r="B750" s="95"/>
    </row>
    <row r="751" ht="13.5" customHeight="1">
      <c r="A751" s="95"/>
      <c r="B751" s="95"/>
    </row>
    <row r="752" ht="13.5" customHeight="1">
      <c r="A752" s="95"/>
      <c r="B752" s="95"/>
    </row>
    <row r="753" ht="13.5" customHeight="1">
      <c r="A753" s="95"/>
      <c r="B753" s="95"/>
    </row>
    <row r="754" ht="13.5" customHeight="1">
      <c r="A754" s="95"/>
      <c r="B754" s="95"/>
    </row>
    <row r="755" ht="13.5" customHeight="1">
      <c r="A755" s="95"/>
      <c r="B755" s="95"/>
    </row>
    <row r="756" ht="13.5" customHeight="1">
      <c r="A756" s="95"/>
      <c r="B756" s="95"/>
    </row>
    <row r="757" ht="13.5" customHeight="1">
      <c r="A757" s="95"/>
      <c r="B757" s="95"/>
    </row>
    <row r="758" ht="13.5" customHeight="1">
      <c r="A758" s="95"/>
      <c r="B758" s="95"/>
    </row>
    <row r="759" ht="13.5" customHeight="1">
      <c r="A759" s="95"/>
      <c r="B759" s="95"/>
    </row>
    <row r="760" ht="13.5" customHeight="1">
      <c r="A760" s="95"/>
      <c r="B760" s="95"/>
    </row>
    <row r="761" ht="13.5" customHeight="1">
      <c r="A761" s="95"/>
      <c r="B761" s="95"/>
    </row>
    <row r="762" ht="13.5" customHeight="1">
      <c r="A762" s="95"/>
      <c r="B762" s="95"/>
    </row>
    <row r="763" ht="13.5" customHeight="1">
      <c r="A763" s="95"/>
      <c r="B763" s="95"/>
    </row>
    <row r="764" ht="13.5" customHeight="1">
      <c r="A764" s="95"/>
      <c r="B764" s="95"/>
    </row>
    <row r="765" ht="13.5" customHeight="1">
      <c r="A765" s="95"/>
      <c r="B765" s="95"/>
    </row>
    <row r="766" ht="13.5" customHeight="1">
      <c r="A766" s="95"/>
      <c r="B766" s="95"/>
    </row>
    <row r="767" ht="13.5" customHeight="1">
      <c r="A767" s="95"/>
      <c r="B767" s="95"/>
    </row>
    <row r="768" ht="13.5" customHeight="1">
      <c r="A768" s="95"/>
      <c r="B768" s="95"/>
    </row>
    <row r="769" ht="13.5" customHeight="1">
      <c r="A769" s="95"/>
      <c r="B769" s="95"/>
    </row>
    <row r="770" ht="13.5" customHeight="1">
      <c r="A770" s="95"/>
      <c r="B770" s="95"/>
    </row>
    <row r="771" ht="13.5" customHeight="1">
      <c r="A771" s="95"/>
      <c r="B771" s="95"/>
    </row>
    <row r="772" ht="13.5" customHeight="1">
      <c r="A772" s="95"/>
      <c r="B772" s="95"/>
    </row>
    <row r="773" ht="13.5" customHeight="1">
      <c r="A773" s="95"/>
      <c r="B773" s="95"/>
    </row>
    <row r="774" ht="13.5" customHeight="1">
      <c r="A774" s="95"/>
      <c r="B774" s="95"/>
    </row>
    <row r="775" ht="13.5" customHeight="1">
      <c r="A775" s="95"/>
      <c r="B775" s="95"/>
    </row>
    <row r="776" ht="13.5" customHeight="1">
      <c r="A776" s="95"/>
      <c r="B776" s="95"/>
    </row>
    <row r="777" ht="13.5" customHeight="1">
      <c r="A777" s="95"/>
      <c r="B777" s="95"/>
    </row>
    <row r="778" ht="13.5" customHeight="1">
      <c r="A778" s="95"/>
      <c r="B778" s="95"/>
    </row>
    <row r="779" ht="13.5" customHeight="1">
      <c r="A779" s="95"/>
      <c r="B779" s="95"/>
    </row>
    <row r="780" ht="13.5" customHeight="1">
      <c r="A780" s="95"/>
      <c r="B780" s="95"/>
    </row>
    <row r="781" ht="13.5" customHeight="1">
      <c r="A781" s="95"/>
      <c r="B781" s="95"/>
    </row>
    <row r="782" ht="13.5" customHeight="1">
      <c r="A782" s="95"/>
      <c r="B782" s="95"/>
    </row>
    <row r="783" ht="13.5" customHeight="1">
      <c r="A783" s="95"/>
      <c r="B783" s="95"/>
    </row>
    <row r="784" ht="13.5" customHeight="1">
      <c r="A784" s="95"/>
      <c r="B784" s="95"/>
    </row>
    <row r="785" ht="13.5" customHeight="1">
      <c r="A785" s="95"/>
      <c r="B785" s="95"/>
    </row>
    <row r="786" ht="13.5" customHeight="1">
      <c r="A786" s="95"/>
      <c r="B786" s="95"/>
    </row>
    <row r="787" ht="13.5" customHeight="1">
      <c r="A787" s="95"/>
      <c r="B787" s="95"/>
    </row>
    <row r="788" ht="13.5" customHeight="1">
      <c r="A788" s="95"/>
      <c r="B788" s="95"/>
    </row>
    <row r="789" ht="13.5" customHeight="1">
      <c r="A789" s="95"/>
      <c r="B789" s="95"/>
    </row>
    <row r="790" ht="13.5" customHeight="1">
      <c r="A790" s="95"/>
      <c r="B790" s="95"/>
    </row>
    <row r="791" ht="13.5" customHeight="1">
      <c r="A791" s="95"/>
      <c r="B791" s="95"/>
    </row>
    <row r="792" ht="13.5" customHeight="1">
      <c r="A792" s="95"/>
      <c r="B792" s="95"/>
    </row>
    <row r="793" ht="13.5" customHeight="1">
      <c r="A793" s="95"/>
      <c r="B793" s="95"/>
    </row>
    <row r="794" ht="13.5" customHeight="1">
      <c r="A794" s="95"/>
      <c r="B794" s="95"/>
    </row>
    <row r="795" ht="13.5" customHeight="1">
      <c r="A795" s="95"/>
      <c r="B795" s="95"/>
    </row>
    <row r="796" ht="13.5" customHeight="1">
      <c r="A796" s="95"/>
      <c r="B796" s="95"/>
    </row>
    <row r="797" ht="13.5" customHeight="1">
      <c r="A797" s="95"/>
      <c r="B797" s="95"/>
    </row>
    <row r="798" ht="13.5" customHeight="1">
      <c r="A798" s="95"/>
      <c r="B798" s="95"/>
    </row>
    <row r="799" ht="13.5" customHeight="1">
      <c r="A799" s="95"/>
      <c r="B799" s="95"/>
    </row>
    <row r="800" ht="13.5" customHeight="1">
      <c r="A800" s="95"/>
      <c r="B800" s="95"/>
    </row>
    <row r="801" ht="13.5" customHeight="1">
      <c r="A801" s="95"/>
      <c r="B801" s="95"/>
    </row>
    <row r="802" ht="13.5" customHeight="1">
      <c r="A802" s="95"/>
      <c r="B802" s="95"/>
    </row>
    <row r="803" ht="13.5" customHeight="1">
      <c r="A803" s="95"/>
      <c r="B803" s="95"/>
    </row>
    <row r="804" ht="13.5" customHeight="1">
      <c r="A804" s="95"/>
      <c r="B804" s="95"/>
    </row>
    <row r="805" ht="13.5" customHeight="1">
      <c r="A805" s="95"/>
      <c r="B805" s="95"/>
    </row>
    <row r="806" ht="13.5" customHeight="1">
      <c r="A806" s="95"/>
      <c r="B806" s="95"/>
    </row>
    <row r="807" ht="13.5" customHeight="1">
      <c r="A807" s="95"/>
      <c r="B807" s="95"/>
    </row>
    <row r="808" ht="13.5" customHeight="1">
      <c r="A808" s="95"/>
      <c r="B808" s="95"/>
    </row>
    <row r="809" ht="13.5" customHeight="1">
      <c r="A809" s="95"/>
      <c r="B809" s="95"/>
    </row>
    <row r="810" ht="13.5" customHeight="1">
      <c r="A810" s="95"/>
      <c r="B810" s="95"/>
    </row>
    <row r="811" ht="13.5" customHeight="1">
      <c r="A811" s="95"/>
      <c r="B811" s="95"/>
    </row>
    <row r="812" ht="13.5" customHeight="1">
      <c r="A812" s="95"/>
      <c r="B812" s="95"/>
    </row>
    <row r="813" ht="13.5" customHeight="1">
      <c r="A813" s="95"/>
      <c r="B813" s="95"/>
    </row>
    <row r="814" ht="13.5" customHeight="1">
      <c r="A814" s="95"/>
      <c r="B814" s="95"/>
    </row>
    <row r="815" ht="13.5" customHeight="1">
      <c r="A815" s="95"/>
      <c r="B815" s="95"/>
    </row>
    <row r="816" ht="13.5" customHeight="1">
      <c r="A816" s="95"/>
      <c r="B816" s="95"/>
    </row>
    <row r="817" ht="13.5" customHeight="1">
      <c r="A817" s="95"/>
      <c r="B817" s="95"/>
    </row>
    <row r="818" ht="13.5" customHeight="1">
      <c r="A818" s="95"/>
      <c r="B818" s="95"/>
    </row>
    <row r="819" ht="13.5" customHeight="1">
      <c r="A819" s="95"/>
      <c r="B819" s="95"/>
    </row>
    <row r="820" ht="13.5" customHeight="1">
      <c r="A820" s="95"/>
      <c r="B820" s="95"/>
    </row>
    <row r="821" ht="13.5" customHeight="1">
      <c r="A821" s="95"/>
      <c r="B821" s="95"/>
    </row>
    <row r="822" ht="13.5" customHeight="1">
      <c r="A822" s="95"/>
      <c r="B822" s="95"/>
    </row>
    <row r="823" ht="13.5" customHeight="1">
      <c r="A823" s="95"/>
      <c r="B823" s="95"/>
    </row>
    <row r="824" ht="13.5" customHeight="1">
      <c r="A824" s="95"/>
      <c r="B824" s="95"/>
    </row>
    <row r="825" ht="13.5" customHeight="1">
      <c r="A825" s="95"/>
      <c r="B825" s="95"/>
    </row>
    <row r="826" ht="13.5" customHeight="1">
      <c r="A826" s="95"/>
      <c r="B826" s="95"/>
    </row>
    <row r="827" ht="13.5" customHeight="1">
      <c r="A827" s="95"/>
      <c r="B827" s="95"/>
    </row>
    <row r="828" ht="13.5" customHeight="1">
      <c r="A828" s="95"/>
      <c r="B828" s="95"/>
    </row>
    <row r="829" ht="13.5" customHeight="1">
      <c r="A829" s="95"/>
      <c r="B829" s="95"/>
    </row>
    <row r="830" ht="13.5" customHeight="1">
      <c r="A830" s="95"/>
      <c r="B830" s="95"/>
    </row>
    <row r="831" ht="13.5" customHeight="1">
      <c r="A831" s="95"/>
      <c r="B831" s="95"/>
    </row>
    <row r="832" ht="13.5" customHeight="1">
      <c r="A832" s="95"/>
      <c r="B832" s="95"/>
    </row>
    <row r="833" ht="13.5" customHeight="1">
      <c r="A833" s="95"/>
      <c r="B833" s="95"/>
    </row>
    <row r="834" ht="13.5" customHeight="1">
      <c r="A834" s="95"/>
      <c r="B834" s="95"/>
    </row>
    <row r="835" ht="13.5" customHeight="1">
      <c r="A835" s="95"/>
      <c r="B835" s="95"/>
    </row>
    <row r="836" ht="13.5" customHeight="1">
      <c r="A836" s="95"/>
      <c r="B836" s="95"/>
    </row>
    <row r="837" ht="13.5" customHeight="1">
      <c r="A837" s="95"/>
      <c r="B837" s="95"/>
    </row>
    <row r="838" ht="13.5" customHeight="1">
      <c r="A838" s="95"/>
      <c r="B838" s="95"/>
    </row>
    <row r="839" ht="13.5" customHeight="1">
      <c r="A839" s="95"/>
      <c r="B839" s="95"/>
    </row>
    <row r="840" ht="13.5" customHeight="1">
      <c r="A840" s="95"/>
      <c r="B840" s="95"/>
    </row>
    <row r="841" ht="13.5" customHeight="1">
      <c r="A841" s="95"/>
      <c r="B841" s="95"/>
    </row>
    <row r="842" ht="13.5" customHeight="1">
      <c r="A842" s="95"/>
      <c r="B842" s="95"/>
    </row>
    <row r="843" ht="13.5" customHeight="1">
      <c r="A843" s="95"/>
      <c r="B843" s="95"/>
    </row>
    <row r="844" ht="13.5" customHeight="1">
      <c r="A844" s="95"/>
      <c r="B844" s="95"/>
    </row>
    <row r="845" ht="13.5" customHeight="1">
      <c r="A845" s="95"/>
      <c r="B845" s="95"/>
    </row>
    <row r="846" ht="13.5" customHeight="1">
      <c r="A846" s="95"/>
      <c r="B846" s="95"/>
    </row>
    <row r="847" ht="13.5" customHeight="1">
      <c r="A847" s="95"/>
      <c r="B847" s="95"/>
    </row>
    <row r="848" ht="13.5" customHeight="1">
      <c r="A848" s="95"/>
      <c r="B848" s="95"/>
    </row>
    <row r="849" ht="13.5" customHeight="1">
      <c r="A849" s="95"/>
      <c r="B849" s="95"/>
    </row>
    <row r="850" ht="13.5" customHeight="1">
      <c r="A850" s="95"/>
      <c r="B850" s="95"/>
    </row>
    <row r="851" ht="13.5" customHeight="1">
      <c r="A851" s="95"/>
      <c r="B851" s="95"/>
    </row>
    <row r="852" ht="13.5" customHeight="1">
      <c r="A852" s="95"/>
      <c r="B852" s="95"/>
    </row>
    <row r="853" ht="13.5" customHeight="1">
      <c r="A853" s="95"/>
      <c r="B853" s="95"/>
    </row>
    <row r="854" ht="13.5" customHeight="1">
      <c r="A854" s="95"/>
      <c r="B854" s="95"/>
    </row>
    <row r="855" ht="13.5" customHeight="1">
      <c r="A855" s="95"/>
      <c r="B855" s="95"/>
    </row>
    <row r="856" ht="13.5" customHeight="1">
      <c r="A856" s="95"/>
      <c r="B856" s="95"/>
    </row>
    <row r="857" ht="13.5" customHeight="1">
      <c r="A857" s="95"/>
      <c r="B857" s="95"/>
    </row>
    <row r="858" ht="13.5" customHeight="1">
      <c r="A858" s="95"/>
      <c r="B858" s="95"/>
    </row>
    <row r="859" ht="13.5" customHeight="1">
      <c r="A859" s="95"/>
      <c r="B859" s="95"/>
    </row>
    <row r="860" ht="13.5" customHeight="1">
      <c r="A860" s="95"/>
      <c r="B860" s="95"/>
    </row>
    <row r="861" ht="13.5" customHeight="1">
      <c r="A861" s="95"/>
      <c r="B861" s="95"/>
    </row>
    <row r="862" ht="13.5" customHeight="1">
      <c r="A862" s="95"/>
      <c r="B862" s="95"/>
    </row>
    <row r="863" ht="13.5" customHeight="1">
      <c r="A863" s="95"/>
      <c r="B863" s="95"/>
    </row>
    <row r="864" ht="13.5" customHeight="1">
      <c r="A864" s="95"/>
      <c r="B864" s="95"/>
    </row>
    <row r="865" ht="13.5" customHeight="1">
      <c r="A865" s="95"/>
      <c r="B865" s="95"/>
    </row>
    <row r="866" ht="13.5" customHeight="1">
      <c r="A866" s="95"/>
      <c r="B866" s="95"/>
    </row>
    <row r="867" ht="13.5" customHeight="1">
      <c r="A867" s="95"/>
      <c r="B867" s="95"/>
    </row>
    <row r="868" ht="13.5" customHeight="1">
      <c r="A868" s="95"/>
      <c r="B868" s="95"/>
    </row>
    <row r="869" ht="13.5" customHeight="1">
      <c r="A869" s="95"/>
      <c r="B869" s="95"/>
    </row>
    <row r="870" ht="13.5" customHeight="1">
      <c r="A870" s="95"/>
      <c r="B870" s="95"/>
    </row>
    <row r="871" ht="13.5" customHeight="1">
      <c r="A871" s="95"/>
      <c r="B871" s="95"/>
    </row>
    <row r="872" ht="13.5" customHeight="1">
      <c r="A872" s="95"/>
      <c r="B872" s="95"/>
    </row>
    <row r="873" ht="13.5" customHeight="1">
      <c r="A873" s="95"/>
      <c r="B873" s="95"/>
    </row>
    <row r="874" ht="13.5" customHeight="1">
      <c r="A874" s="95"/>
      <c r="B874" s="95"/>
    </row>
    <row r="875" ht="13.5" customHeight="1">
      <c r="A875" s="95"/>
      <c r="B875" s="95"/>
    </row>
    <row r="876" ht="13.5" customHeight="1">
      <c r="A876" s="95"/>
      <c r="B876" s="95"/>
    </row>
    <row r="877" ht="13.5" customHeight="1">
      <c r="A877" s="95"/>
      <c r="B877" s="95"/>
    </row>
    <row r="878" ht="13.5" customHeight="1">
      <c r="A878" s="95"/>
      <c r="B878" s="95"/>
    </row>
    <row r="879" ht="13.5" customHeight="1">
      <c r="A879" s="95"/>
      <c r="B879" s="95"/>
    </row>
    <row r="880" ht="13.5" customHeight="1">
      <c r="A880" s="95"/>
      <c r="B880" s="95"/>
    </row>
    <row r="881" ht="13.5" customHeight="1">
      <c r="A881" s="95"/>
      <c r="B881" s="95"/>
    </row>
    <row r="882" ht="13.5" customHeight="1">
      <c r="A882" s="95"/>
      <c r="B882" s="95"/>
    </row>
    <row r="883" ht="13.5" customHeight="1">
      <c r="A883" s="95"/>
      <c r="B883" s="95"/>
    </row>
    <row r="884" ht="13.5" customHeight="1">
      <c r="A884" s="95"/>
      <c r="B884" s="95"/>
    </row>
    <row r="885" ht="13.5" customHeight="1">
      <c r="A885" s="95"/>
      <c r="B885" s="95"/>
    </row>
    <row r="886" ht="13.5" customHeight="1">
      <c r="A886" s="95"/>
      <c r="B886" s="95"/>
    </row>
    <row r="887" ht="13.5" customHeight="1">
      <c r="A887" s="95"/>
      <c r="B887" s="95"/>
    </row>
    <row r="888" ht="13.5" customHeight="1">
      <c r="A888" s="95"/>
      <c r="B888" s="95"/>
    </row>
    <row r="889" ht="13.5" customHeight="1">
      <c r="A889" s="95"/>
      <c r="B889" s="95"/>
    </row>
    <row r="890" ht="13.5" customHeight="1">
      <c r="A890" s="95"/>
      <c r="B890" s="95"/>
    </row>
    <row r="891" ht="13.5" customHeight="1">
      <c r="A891" s="95"/>
      <c r="B891" s="95"/>
    </row>
    <row r="892" ht="13.5" customHeight="1">
      <c r="A892" s="95"/>
      <c r="B892" s="95"/>
    </row>
    <row r="893" ht="13.5" customHeight="1">
      <c r="A893" s="95"/>
      <c r="B893" s="95"/>
    </row>
    <row r="894" ht="13.5" customHeight="1">
      <c r="A894" s="95"/>
      <c r="B894" s="95"/>
    </row>
    <row r="895" ht="13.5" customHeight="1">
      <c r="A895" s="95"/>
      <c r="B895" s="95"/>
    </row>
    <row r="896" ht="13.5" customHeight="1">
      <c r="A896" s="95"/>
      <c r="B896" s="95"/>
    </row>
    <row r="897" ht="13.5" customHeight="1">
      <c r="A897" s="95"/>
      <c r="B897" s="95"/>
    </row>
    <row r="898" ht="13.5" customHeight="1">
      <c r="A898" s="95"/>
      <c r="B898" s="95"/>
    </row>
    <row r="899" ht="13.5" customHeight="1">
      <c r="A899" s="95"/>
      <c r="B899" s="95"/>
    </row>
    <row r="900" ht="13.5" customHeight="1">
      <c r="A900" s="95"/>
      <c r="B900" s="95"/>
    </row>
    <row r="901" ht="13.5" customHeight="1">
      <c r="A901" s="95"/>
      <c r="B901" s="95"/>
    </row>
    <row r="902" ht="13.5" customHeight="1">
      <c r="A902" s="95"/>
      <c r="B902" s="95"/>
    </row>
    <row r="903" ht="13.5" customHeight="1">
      <c r="A903" s="95"/>
      <c r="B903" s="95"/>
    </row>
    <row r="904" ht="13.5" customHeight="1">
      <c r="A904" s="95"/>
      <c r="B904" s="95"/>
    </row>
    <row r="905" ht="13.5" customHeight="1">
      <c r="A905" s="95"/>
      <c r="B905" s="95"/>
    </row>
    <row r="906" ht="13.5" customHeight="1">
      <c r="A906" s="95"/>
      <c r="B906" s="95"/>
    </row>
    <row r="907" ht="13.5" customHeight="1">
      <c r="A907" s="95"/>
      <c r="B907" s="95"/>
    </row>
    <row r="908" ht="13.5" customHeight="1">
      <c r="A908" s="95"/>
      <c r="B908" s="95"/>
    </row>
    <row r="909" ht="13.5" customHeight="1">
      <c r="A909" s="95"/>
      <c r="B909" s="95"/>
    </row>
    <row r="910" ht="13.5" customHeight="1">
      <c r="A910" s="95"/>
      <c r="B910" s="95"/>
    </row>
    <row r="911" ht="13.5" customHeight="1">
      <c r="A911" s="95"/>
      <c r="B911" s="95"/>
    </row>
    <row r="912" ht="13.5" customHeight="1">
      <c r="A912" s="95"/>
      <c r="B912" s="95"/>
    </row>
    <row r="913" ht="13.5" customHeight="1">
      <c r="A913" s="95"/>
      <c r="B913" s="95"/>
    </row>
    <row r="914" ht="13.5" customHeight="1">
      <c r="A914" s="95"/>
      <c r="B914" s="95"/>
    </row>
    <row r="915" ht="13.5" customHeight="1">
      <c r="A915" s="95"/>
      <c r="B915" s="95"/>
    </row>
    <row r="916" ht="13.5" customHeight="1">
      <c r="A916" s="95"/>
      <c r="B916" s="95"/>
    </row>
    <row r="917" ht="13.5" customHeight="1">
      <c r="A917" s="95"/>
      <c r="B917" s="95"/>
    </row>
    <row r="918" ht="13.5" customHeight="1">
      <c r="A918" s="95"/>
      <c r="B918" s="95"/>
    </row>
    <row r="919" ht="13.5" customHeight="1">
      <c r="A919" s="95"/>
      <c r="B919" s="95"/>
    </row>
    <row r="920" ht="13.5" customHeight="1">
      <c r="A920" s="95"/>
      <c r="B920" s="95"/>
    </row>
    <row r="921" ht="13.5" customHeight="1">
      <c r="A921" s="95"/>
      <c r="B921" s="95"/>
    </row>
    <row r="922" ht="13.5" customHeight="1">
      <c r="A922" s="95"/>
      <c r="B922" s="95"/>
    </row>
    <row r="923" ht="13.5" customHeight="1">
      <c r="A923" s="95"/>
      <c r="B923" s="95"/>
    </row>
    <row r="924" ht="13.5" customHeight="1">
      <c r="A924" s="95"/>
      <c r="B924" s="95"/>
    </row>
    <row r="925" ht="13.5" customHeight="1">
      <c r="A925" s="95"/>
      <c r="B925" s="95"/>
    </row>
    <row r="926" ht="13.5" customHeight="1">
      <c r="A926" s="95"/>
      <c r="B926" s="95"/>
    </row>
    <row r="927" ht="13.5" customHeight="1">
      <c r="A927" s="95"/>
      <c r="B927" s="95"/>
    </row>
    <row r="928" ht="13.5" customHeight="1">
      <c r="A928" s="95"/>
      <c r="B928" s="95"/>
    </row>
    <row r="929" ht="13.5" customHeight="1">
      <c r="A929" s="95"/>
      <c r="B929" s="95"/>
    </row>
    <row r="930" ht="13.5" customHeight="1">
      <c r="A930" s="95"/>
      <c r="B930" s="95"/>
    </row>
    <row r="931" ht="13.5" customHeight="1">
      <c r="A931" s="95"/>
      <c r="B931" s="95"/>
    </row>
    <row r="932" ht="13.5" customHeight="1">
      <c r="A932" s="95"/>
      <c r="B932" s="95"/>
    </row>
    <row r="933" ht="13.5" customHeight="1">
      <c r="A933" s="95"/>
      <c r="B933" s="95"/>
    </row>
    <row r="934" ht="13.5" customHeight="1">
      <c r="A934" s="95"/>
      <c r="B934" s="95"/>
    </row>
    <row r="935" ht="13.5" customHeight="1">
      <c r="A935" s="95"/>
      <c r="B935" s="95"/>
    </row>
    <row r="936" ht="13.5" customHeight="1">
      <c r="A936" s="95"/>
      <c r="B936" s="95"/>
    </row>
    <row r="937" ht="13.5" customHeight="1">
      <c r="A937" s="95"/>
      <c r="B937" s="95"/>
    </row>
    <row r="938" ht="13.5" customHeight="1">
      <c r="A938" s="95"/>
      <c r="B938" s="95"/>
    </row>
    <row r="939" ht="13.5" customHeight="1">
      <c r="A939" s="95"/>
      <c r="B939" s="95"/>
    </row>
    <row r="940" ht="13.5" customHeight="1">
      <c r="A940" s="95"/>
      <c r="B940" s="95"/>
    </row>
    <row r="941" ht="13.5" customHeight="1">
      <c r="A941" s="95"/>
      <c r="B941" s="95"/>
    </row>
    <row r="942" ht="13.5" customHeight="1">
      <c r="A942" s="95"/>
      <c r="B942" s="95"/>
    </row>
    <row r="943" ht="13.5" customHeight="1">
      <c r="A943" s="95"/>
      <c r="B943" s="95"/>
    </row>
    <row r="944" ht="13.5" customHeight="1">
      <c r="A944" s="95"/>
      <c r="B944" s="95"/>
    </row>
    <row r="945" ht="13.5" customHeight="1">
      <c r="A945" s="95"/>
      <c r="B945" s="95"/>
    </row>
    <row r="946" ht="13.5" customHeight="1">
      <c r="A946" s="95"/>
      <c r="B946" s="95"/>
    </row>
    <row r="947" ht="13.5" customHeight="1">
      <c r="A947" s="95"/>
      <c r="B947" s="95"/>
    </row>
    <row r="948" ht="13.5" customHeight="1">
      <c r="A948" s="95"/>
      <c r="B948" s="95"/>
    </row>
    <row r="949" ht="13.5" customHeight="1">
      <c r="A949" s="95"/>
      <c r="B949" s="95"/>
    </row>
    <row r="950" ht="13.5" customHeight="1">
      <c r="A950" s="95"/>
      <c r="B950" s="95"/>
    </row>
    <row r="951" ht="13.5" customHeight="1">
      <c r="A951" s="95"/>
      <c r="B951" s="95"/>
    </row>
    <row r="952" ht="13.5" customHeight="1">
      <c r="A952" s="95"/>
      <c r="B952" s="95"/>
    </row>
    <row r="953" ht="13.5" customHeight="1">
      <c r="A953" s="95"/>
      <c r="B953" s="95"/>
    </row>
    <row r="954" ht="13.5" customHeight="1">
      <c r="A954" s="95"/>
      <c r="B954" s="95"/>
    </row>
    <row r="955" ht="13.5" customHeight="1">
      <c r="A955" s="95"/>
      <c r="B955" s="95"/>
    </row>
    <row r="956" ht="13.5" customHeight="1">
      <c r="A956" s="95"/>
      <c r="B956" s="95"/>
    </row>
    <row r="957" ht="13.5" customHeight="1">
      <c r="A957" s="95"/>
      <c r="B957" s="95"/>
    </row>
    <row r="958" ht="13.5" customHeight="1">
      <c r="A958" s="95"/>
      <c r="B958" s="95"/>
    </row>
    <row r="959" ht="13.5" customHeight="1">
      <c r="A959" s="95"/>
      <c r="B959" s="95"/>
    </row>
    <row r="960" ht="13.5" customHeight="1">
      <c r="A960" s="95"/>
      <c r="B960" s="95"/>
    </row>
    <row r="961" ht="13.5" customHeight="1">
      <c r="A961" s="95"/>
      <c r="B961" s="95"/>
    </row>
    <row r="962" ht="13.5" customHeight="1">
      <c r="A962" s="95"/>
      <c r="B962" s="95"/>
    </row>
    <row r="963" ht="13.5" customHeight="1">
      <c r="A963" s="95"/>
      <c r="B963" s="95"/>
    </row>
    <row r="964" ht="13.5" customHeight="1">
      <c r="A964" s="95"/>
      <c r="B964" s="95"/>
    </row>
    <row r="965" ht="13.5" customHeight="1">
      <c r="A965" s="95"/>
      <c r="B965" s="95"/>
    </row>
    <row r="966" ht="13.5" customHeight="1">
      <c r="A966" s="95"/>
      <c r="B966" s="95"/>
    </row>
    <row r="967" ht="13.5" customHeight="1">
      <c r="A967" s="95"/>
      <c r="B967" s="95"/>
    </row>
    <row r="968" ht="13.5" customHeight="1">
      <c r="A968" s="95"/>
      <c r="B968" s="95"/>
    </row>
    <row r="969" ht="13.5" customHeight="1">
      <c r="A969" s="95"/>
      <c r="B969" s="95"/>
    </row>
    <row r="970" ht="13.5" customHeight="1">
      <c r="A970" s="95"/>
      <c r="B970" s="95"/>
    </row>
    <row r="971" ht="13.5" customHeight="1">
      <c r="A971" s="95"/>
      <c r="B971" s="95"/>
    </row>
    <row r="972" ht="13.5" customHeight="1">
      <c r="A972" s="95"/>
      <c r="B972" s="95"/>
    </row>
    <row r="973" ht="13.5" customHeight="1">
      <c r="A973" s="95"/>
      <c r="B973" s="95"/>
    </row>
    <row r="974" ht="13.5" customHeight="1">
      <c r="A974" s="95"/>
      <c r="B974" s="95"/>
    </row>
    <row r="975" ht="13.5" customHeight="1">
      <c r="A975" s="95"/>
      <c r="B975" s="95"/>
    </row>
    <row r="976" ht="13.5" customHeight="1">
      <c r="A976" s="95"/>
      <c r="B976" s="95"/>
    </row>
    <row r="977" ht="13.5" customHeight="1">
      <c r="A977" s="95"/>
      <c r="B977" s="95"/>
    </row>
    <row r="978" ht="13.5" customHeight="1">
      <c r="A978" s="95"/>
      <c r="B978" s="95"/>
    </row>
    <row r="979" ht="13.5" customHeight="1">
      <c r="A979" s="95"/>
      <c r="B979" s="95"/>
    </row>
    <row r="980" ht="13.5" customHeight="1">
      <c r="A980" s="95"/>
      <c r="B980" s="95"/>
    </row>
    <row r="981" ht="13.5" customHeight="1">
      <c r="A981" s="95"/>
      <c r="B981" s="95"/>
    </row>
    <row r="982" ht="13.5" customHeight="1">
      <c r="A982" s="95"/>
      <c r="B982" s="95"/>
    </row>
    <row r="983" ht="13.5" customHeight="1">
      <c r="A983" s="95"/>
      <c r="B983" s="95"/>
    </row>
    <row r="984" ht="13.5" customHeight="1">
      <c r="A984" s="95"/>
      <c r="B984" s="95"/>
    </row>
    <row r="985" ht="13.5" customHeight="1">
      <c r="A985" s="95"/>
      <c r="B985" s="95"/>
    </row>
    <row r="986" ht="13.5" customHeight="1">
      <c r="A986" s="95"/>
      <c r="B986" s="95"/>
    </row>
    <row r="987" ht="13.5" customHeight="1">
      <c r="A987" s="95"/>
      <c r="B987" s="95"/>
    </row>
    <row r="988" ht="13.5" customHeight="1">
      <c r="A988" s="95"/>
      <c r="B988" s="95"/>
    </row>
    <row r="989" ht="13.5" customHeight="1">
      <c r="A989" s="95"/>
      <c r="B989" s="95"/>
    </row>
    <row r="990" ht="13.5" customHeight="1">
      <c r="A990" s="95"/>
      <c r="B990" s="95"/>
    </row>
    <row r="991" ht="13.5" customHeight="1">
      <c r="A991" s="95"/>
      <c r="B991" s="95"/>
    </row>
    <row r="992" ht="13.5" customHeight="1">
      <c r="A992" s="95"/>
      <c r="B992" s="95"/>
    </row>
    <row r="993" ht="13.5" customHeight="1">
      <c r="A993" s="95"/>
      <c r="B993" s="95"/>
    </row>
    <row r="994" ht="13.5" customHeight="1">
      <c r="A994" s="95"/>
      <c r="B994" s="95"/>
    </row>
    <row r="995" ht="13.5" customHeight="1">
      <c r="A995" s="95"/>
      <c r="B995" s="95"/>
    </row>
    <row r="996" ht="13.5" customHeight="1">
      <c r="A996" s="95"/>
      <c r="B996" s="95"/>
    </row>
    <row r="997" ht="13.5" customHeight="1">
      <c r="A997" s="95"/>
      <c r="B997" s="95"/>
    </row>
    <row r="998" ht="13.5" customHeight="1">
      <c r="A998" s="95"/>
      <c r="B998" s="95"/>
    </row>
    <row r="999" ht="13.5" customHeight="1">
      <c r="A999" s="95"/>
      <c r="B999" s="95"/>
    </row>
    <row r="1000" ht="13.5" customHeight="1">
      <c r="A1000" s="95"/>
      <c r="B1000" s="95"/>
    </row>
  </sheetData>
  <customSheetViews>
    <customSheetView guid="{83993DDC-F9E9-4E47-8B0B-AE917F5B07A6}" filter="1" showAutoFilter="1">
      <autoFilter ref="$A$5:$J$1000"/>
    </customSheetView>
  </customSheetViews>
  <dataValidations>
    <dataValidation type="list" allowBlank="1" showInputMessage="1" showErrorMessage="1" prompt="Escolha uma opção cadastrada." sqref="A6:A1000">
      <formula1>Favoritas!$A$6:$A$1000</formula1>
    </dataValidation>
    <dataValidation type="list" allowBlank="1" showInputMessage="1" showErrorMessage="1" prompt="Escolha uma opção cadastrada." sqref="B6:B1000">
      <formula1>Alimentos!$A$6:$A$1000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