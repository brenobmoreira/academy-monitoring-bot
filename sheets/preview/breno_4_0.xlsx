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je" sheetId="1" state="visible" r:id="rId1"/>
    <sheet name="Painel" sheetId="2" state="visible" r:id="rId2"/>
    <sheet name="Progressão" sheetId="3" state="visible" r:id="rId3"/>
    <sheet name="Config" sheetId="4" state="visible" r:id="rId4"/>
    <sheet name="Ficha de treino" sheetId="5" state="visible" r:id="rId5"/>
    <sheet name="Registro de treino" sheetId="6" state="visible" r:id="rId6"/>
    <sheet name="Dieta base" sheetId="7" state="visible" r:id="rId7"/>
    <sheet name="Equivalências" sheetId="8" state="visible" r:id="rId8"/>
    <sheet name="Alimentação" sheetId="9" state="visible" r:id="rId9"/>
    <sheet name="Diário" sheetId="10" state="visible" r:id="rId10"/>
    <sheet name="Semanas" sheetId="11" state="visible" r:id="rId11"/>
    <sheet name="Medidas e fotos" sheetId="12" state="visible" r:id="rId12"/>
    <sheet name="Revisões" sheetId="13" state="visible" r:id="rId13"/>
    <sheet name="Alimentos" sheetId="14" state="visible" r:id="rId14"/>
    <sheet name="Guia" sheetId="15" state="visible" r:id="rId15"/>
    <sheet name="Metas" sheetId="16" state="visible" r:id="rId16"/>
    <sheet name="Exercícios" sheetId="17" state="visible" r:id="rId17"/>
    <sheet name="Fichas" sheetId="18" state="visible" r:id="rId18"/>
    <sheet name="Favoritas" sheetId="19" state="visible" r:id="rId19"/>
    <sheet name="Ingredientes" sheetId="20" state="visible" r:id="rId20"/>
    <sheet name="Log" sheetId="21" state="visible" r:id="rId21"/>
    <sheet name="Evolução" sheetId="22" state="visible" r:id="rId22"/>
    <sheet name="Objetivos" sheetId="23" state="visible" r:id="rId23"/>
    <sheet name="Auditoria" sheetId="24" state="visible" r:id="rId24"/>
  </sheets>
  <definedNames>
    <definedName name="ListaExercicios">'Exercícios'!$A$6:$A$1000</definedName>
    <definedName name="_xlnm._FilterDatabase" localSheetId="9" hidden="1">'Diário'!$A$5:$AG$1000</definedName>
    <definedName name="_xlnm._FilterDatabase" localSheetId="10" hidden="1">'Semanas'!$A$5:$V$1000</definedName>
    <definedName name="_xlnm._FilterDatabase" localSheetId="11" hidden="1">'Medidas e fotos'!$A$5:$J$45</definedName>
    <definedName name="_xlnm._FilterDatabase" localSheetId="12" hidden="1">'Revisões'!$A$5:$H$55</definedName>
    <definedName name="_xlnm._FilterDatabase" localSheetId="15" hidden="1">'Metas'!$A$5:$L$6</definedName>
    <definedName name="_xlnm._FilterDatabase" localSheetId="16" hidden="1">'Exercícios'!$A$5:$C$44</definedName>
    <definedName name="_xlnm._FilterDatabase" localSheetId="17" hidden="1">'Fichas'!$A$5:$O$49</definedName>
    <definedName name="_xlnm._FilterDatabase" localSheetId="18" hidden="1">'Favoritas'!$A$5:$H$1000</definedName>
    <definedName name="_xlnm._FilterDatabase" localSheetId="19" hidden="1">'Ingredientes'!$A$5:$J$1000</definedName>
  </definedNames>
  <calcPr calcId="124519" fullCalcOnLoad="1"/>
</workbook>
</file>

<file path=xl/styles.xml><?xml version="1.0" encoding="utf-8"?>
<styleSheet xmlns="http://schemas.openxmlformats.org/spreadsheetml/2006/main">
  <numFmts count="4">
    <numFmt numFmtId="164" formatCode="dd/mm/yyyy"/>
    <numFmt numFmtId="165" formatCode="0.0"/>
    <numFmt numFmtId="166" formatCode="yyyy-mm-dd h:mm:ss"/>
    <numFmt numFmtId="167" formatCode="dd/MM/yyyy"/>
  </numFmts>
  <fonts count="8">
    <font>
      <name val="Calibri"/>
      <family val="2"/>
      <color theme="1"/>
      <sz val="11"/>
      <scheme val="minor"/>
    </font>
    <font>
      <color rgb="FF172033"/>
    </font>
    <font>
      <b val="1"/>
      <color rgb="FF4C356B"/>
      <sz val="16"/>
    </font>
    <font>
      <color rgb="FF1D4ED8"/>
    </font>
    <font>
      <color rgb="FFFFFFFF"/>
    </font>
    <font>
      <b val="1"/>
    </font>
    <font>
      <b val="1"/>
      <color rgb="FFFFFFFF"/>
    </font>
    <font>
      <i val="1"/>
      <color rgb="FF526174"/>
    </font>
  </fonts>
  <fills count="8">
    <fill>
      <patternFill/>
    </fill>
    <fill>
      <patternFill patternType="gray125"/>
    </fill>
    <fill>
      <patternFill patternType="solid">
        <fgColor rgb="FFFFF4D1"/>
      </patternFill>
    </fill>
    <fill>
      <patternFill patternType="solid">
        <fgColor rgb="FFFFF4D6"/>
      </patternFill>
    </fill>
    <fill>
      <patternFill patternType="solid">
        <fgColor rgb="FFEDF2F7"/>
      </patternFill>
    </fill>
    <fill>
      <patternFill patternType="solid">
        <fgColor rgb="FFDBF2E0"/>
      </patternFill>
    </fill>
    <fill>
      <patternFill patternType="solid">
        <fgColor rgb="FF4C356B"/>
      </patternFill>
    </fill>
    <fill>
      <patternFill patternType="solid">
        <fgColor rgb="FFE8F2EC"/>
      </patternFill>
    </fill>
  </fills>
  <borders count="1">
    <border>
      <left/>
      <right/>
      <top/>
      <bottom/>
      <diagonal/>
    </border>
  </borders>
  <cellStyleXfs count="1">
    <xf numFmtId="0" fontId="0" fillId="0" borderId="0"/>
  </cellStyleXfs>
  <cellXfs count="47">
    <xf numFmtId="0" fontId="0" fillId="0" borderId="0" pivotButton="0" quotePrefix="0" xfId="0"/>
    <xf numFmtId="0" fontId="1" fillId="0" borderId="0" pivotButton="0" quotePrefix="0" xfId="0"/>
    <xf numFmtId="0" fontId="2" fillId="0" borderId="0" pivotButton="0" quotePrefix="0" xfId="0"/>
    <xf numFmtId="164" fontId="0" fillId="2" borderId="0" pivotButton="0" quotePrefix="0" xfId="0"/>
    <xf numFmtId="0" fontId="1" fillId="0" borderId="0" applyAlignment="1" pivotButton="0" quotePrefix="0" xfId="0">
      <alignment wrapText="1"/>
    </xf>
    <xf numFmtId="0" fontId="3" fillId="3" borderId="0" pivotButton="0" quotePrefix="0" xfId="0"/>
    <xf numFmtId="0" fontId="3" fillId="3" borderId="0" applyAlignment="1" pivotButton="0" quotePrefix="0" xfId="0">
      <alignment wrapText="1"/>
    </xf>
    <xf numFmtId="14" fontId="3" fillId="3" borderId="0" pivotButton="0" quotePrefix="0" xfId="0"/>
    <xf numFmtId="0" fontId="4" fillId="0" borderId="0" pivotButton="0" quotePrefix="0" xfId="0"/>
    <xf numFmtId="49" fontId="1" fillId="0" borderId="0" pivotButton="0" quotePrefix="0" xfId="0"/>
    <xf numFmtId="0" fontId="5" fillId="0" borderId="0" applyAlignment="1" pivotButton="0" quotePrefix="0" xfId="0">
      <alignment vertical="center" wrapText="1"/>
    </xf>
    <xf numFmtId="0" fontId="0" fillId="4" borderId="0" applyAlignment="1" pivotButton="0" quotePrefix="0" xfId="0">
      <alignment wrapText="1"/>
    </xf>
    <xf numFmtId="0" fontId="0" fillId="5" borderId="0" applyAlignment="1" pivotButton="0" quotePrefix="0" xfId="0">
      <alignment wrapText="1"/>
    </xf>
    <xf numFmtId="0" fontId="0" fillId="0" borderId="0" applyAlignment="1" pivotButton="0" quotePrefix="0" xfId="0">
      <alignment wrapText="1"/>
    </xf>
    <xf numFmtId="165" fontId="1" fillId="0" borderId="0" pivotButton="0" quotePrefix="0" xfId="0"/>
    <xf numFmtId="14" fontId="1" fillId="0" borderId="0" pivotButton="0" quotePrefix="0" xfId="0"/>
    <xf numFmtId="9" fontId="1" fillId="0" borderId="0" pivotButton="0" quotePrefix="0" xfId="0"/>
    <xf numFmtId="0" fontId="6" fillId="6"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7" fillId="0" borderId="0" applyAlignment="1" pivotButton="0" quotePrefix="0" xfId="0">
      <alignment vertical="center"/>
    </xf>
    <xf numFmtId="0" fontId="6" fillId="6" borderId="0" applyAlignment="1" pivotButton="0" quotePrefix="0" xfId="0">
      <alignment horizontal="center" vertical="center" wrapText="1"/>
    </xf>
    <xf numFmtId="0" fontId="3" fillId="3" borderId="0" applyAlignment="1" pivotButton="0" quotePrefix="0" xfId="0">
      <alignment horizontal="right" vertical="center"/>
    </xf>
    <xf numFmtId="0" fontId="1" fillId="0" borderId="0" applyAlignment="1" pivotButton="0" quotePrefix="0" xfId="0">
      <alignment horizontal="right" vertical="center"/>
    </xf>
    <xf numFmtId="2" fontId="3" fillId="3" borderId="0" applyAlignment="1" pivotButton="0" quotePrefix="0" xfId="0">
      <alignment horizontal="right" vertical="center"/>
    </xf>
    <xf numFmtId="14" fontId="3" fillId="3" borderId="0" applyAlignment="1" pivotButton="0" quotePrefix="0" xfId="0">
      <alignment horizontal="right" vertical="center"/>
    </xf>
    <xf numFmtId="166" fontId="1" fillId="0" borderId="0" applyAlignment="1" pivotButton="0" quotePrefix="0" xfId="0">
      <alignment horizontal="right" vertical="center"/>
    </xf>
    <xf numFmtId="165" fontId="3" fillId="7" borderId="0" applyAlignment="1" pivotButton="0" quotePrefix="0" xfId="0">
      <alignment horizontal="right" vertical="center"/>
    </xf>
    <xf numFmtId="0" fontId="1" fillId="7" borderId="0" applyAlignment="1" pivotButton="0" quotePrefix="0" xfId="0">
      <alignment vertical="center"/>
    </xf>
    <xf numFmtId="165" fontId="1" fillId="0" borderId="0" applyAlignment="1" pivotButton="0" quotePrefix="0" xfId="0">
      <alignment vertical="center"/>
    </xf>
    <xf numFmtId="0" fontId="3" fillId="3" borderId="0" applyAlignment="1" pivotButton="0" quotePrefix="0" xfId="0">
      <alignment vertical="center"/>
    </xf>
    <xf numFmtId="0" fontId="5" fillId="0" borderId="0" applyAlignment="1" pivotButton="0" quotePrefix="0" xfId="0">
      <alignment horizontal="center" vertical="center" wrapText="1"/>
    </xf>
    <xf numFmtId="0" fontId="0" fillId="0" borderId="0" applyAlignment="1" pivotButton="0" quotePrefix="0" xfId="0">
      <alignment horizontal="left" vertical="center"/>
    </xf>
    <xf numFmtId="167" fontId="3" fillId="3" borderId="0" applyAlignment="1" pivotButton="0" quotePrefix="0" xfId="0">
      <alignment vertical="center"/>
    </xf>
    <xf numFmtId="0" fontId="0" fillId="0" borderId="0" applyAlignment="1" pivotButton="0" quotePrefix="0" xfId="0">
      <alignment vertical="center"/>
    </xf>
    <xf numFmtId="165" fontId="3" fillId="3" borderId="0" applyAlignment="1" pivotButton="0" quotePrefix="0" xfId="0">
      <alignment vertical="center"/>
    </xf>
    <xf numFmtId="165" fontId="1" fillId="7" borderId="0" applyAlignment="1" pivotButton="0" quotePrefix="0" xfId="0">
      <alignment vertical="center"/>
    </xf>
    <xf numFmtId="0" fontId="5" fillId="0" borderId="0" applyAlignment="1" pivotButton="0" quotePrefix="0" xfId="0">
      <alignment horizontal="left" vertical="center" wrapText="1"/>
    </xf>
    <xf numFmtId="167" fontId="1" fillId="0" borderId="0" applyAlignment="1" pivotButton="0" quotePrefix="0" xfId="0">
      <alignment vertical="center"/>
    </xf>
    <xf numFmtId="14" fontId="1" fillId="0" borderId="0" applyAlignment="1" pivotButton="0" quotePrefix="0" xfId="0">
      <alignment vertical="center"/>
    </xf>
    <xf numFmtId="9" fontId="1" fillId="0" borderId="0" applyAlignment="1" pivotButton="0" quotePrefix="0" xfId="0">
      <alignment vertical="center"/>
    </xf>
    <xf numFmtId="14" fontId="3" fillId="3" borderId="0" applyAlignment="1" pivotButton="0" quotePrefix="0" xfId="0">
      <alignment vertical="center"/>
    </xf>
    <xf numFmtId="0" fontId="1" fillId="0" borderId="0" applyAlignment="1" pivotButton="0" quotePrefix="0" xfId="0">
      <alignment vertical="center" wrapText="1"/>
    </xf>
    <xf numFmtId="0" fontId="6" fillId="6" borderId="0" applyAlignment="1" pivotButton="0" quotePrefix="0" xfId="0">
      <alignment horizontal="left" vertical="center" wrapText="1"/>
    </xf>
    <xf numFmtId="9" fontId="3" fillId="3" borderId="0" applyAlignment="1" pivotButton="0" quotePrefix="0" xfId="0">
      <alignment vertical="center"/>
    </xf>
    <xf numFmtId="166" fontId="1" fillId="0" borderId="0" pivotButton="0" quotePrefix="0" xfId="0"/>
    <xf numFmtId="166" fontId="0" fillId="0" borderId="0" pivotButton="0" quotePrefix="0" xfId="0"/>
  </cellXfs>
  <cellStyles count="1">
    <cellStyle name="Normal" xfId="0" builtinId="0" hidden="0"/>
  </cellStyles>
  <dxfs count="3">
    <dxf>
      <fill>
        <patternFill patternType="solid">
          <fgColor rgb="FFDCFCE7"/>
          <bgColor rgb="FFDCFCE7"/>
        </patternFill>
      </fill>
    </dxf>
    <dxf>
      <fill>
        <patternFill patternType="solid">
          <fgColor rgb="FFFEF3C7"/>
          <bgColor rgb="FFFEF3C7"/>
        </patternFill>
      </fill>
    </dxf>
    <dxf>
      <fill>
        <patternFill patternType="solid">
          <fgColor rgb="FFFEE2E2"/>
          <bgColor rgb="FF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harts/chart1.xml><?xml version="1.0" encoding="utf-8"?>
<chartSpace xmlns:a="http://schemas.openxmlformats.org/drawingml/2006/main" xmlns="http://schemas.openxmlformats.org/drawingml/2006/chart">
  <chart>
    <title>
      <tx>
        <rich>
          <a:bodyPr/>
          <a:p>
            <a:pPr>
              <a:defRPr/>
            </a:pPr>
            <a:r>
              <a:t>Peso diário e média móvel de 7 dias</a:t>
            </a:r>
          </a:p>
        </rich>
      </tx>
    </title>
    <plotArea>
      <lineChart>
        <grouping val="standard"/>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Proteína média nas semanas registradas</a:t>
            </a:r>
          </a:p>
        </rich>
      </tx>
    </title>
    <plotArea>
      <lineChart>
        <grouping val="standard"/>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
  </authors>
  <commentList>
    <comment ref="B4" authorId="0" shapeId="0">
      <text>
        <t>Selecione uma ação para executá-la; o campo volta para —. No celular, substitui o menu Projeto.</t>
      </text>
    </comment>
    <comment ref="B9" authorId="0" shapeId="0">
      <text>
        <t>Sim = registrou tudo que consumiu, mesmo fora do plano. Não significa cumprir a meta.</t>
      </text>
    </comment>
    <comment ref="E16" authorId="0" shapeId="0">
      <text>
        <t>Escolha a unidade em K16. Ex.: 2 un de ovo usa a conversão cadastrada; 2 g representa apenas 2 gramas.</t>
      </text>
    </comment>
    <comment ref="B20" authorId="0" shapeId="0">
      <text>
        <t>Descreva o que comeu quando não souber quantidades. Menu Projeto → Registrar sem cálculo. Valores desconhecidos ficam vazios.</t>
      </text>
    </comment>
    <comment ref="J26" authorId="0" shapeId="0">
      <text>
        <t>RIR da segunda série de trabalho. Zero é válido. Não preencher automaticamente.</t>
      </text>
    </comment>
    <comment ref="M26" authorId="0" shapeId="0">
      <text>
        <t>RIR da primeira série de trabalho. Zero é válido.</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4</row>
      <rowOff>0</rowOff>
    </from>
    <ext cx="9753600" cy="542925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24</row>
      <rowOff>0</rowOff>
    </from>
    <ext cx="9753600" cy="4572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FF4C356B"/>
    <outlinePr summaryBelow="1" summaryRight="1"/>
    <pageSetUpPr/>
  </sheetPr>
  <dimension ref="A1:AF65"/>
  <sheetViews>
    <sheetView showGridLines="0" workbookViewId="0">
      <pane ySplit="5" topLeftCell="A6" activePane="bottomLeft" state="frozen"/>
      <selection pane="bottomLeft" activeCell="A1" sqref="A1"/>
    </sheetView>
  </sheetViews>
  <sheetFormatPr baseColWidth="8" defaultRowHeight="15"/>
  <cols>
    <col width="32.96" customWidth="1" min="1" max="1"/>
    <col width="15.03" customWidth="1" min="2" max="2"/>
    <col width="12" customWidth="1" min="3" max="3"/>
    <col width="16.04" customWidth="1" min="4" max="4"/>
    <col width="17.05" customWidth="1" min="5" max="5"/>
    <col width="13.01" customWidth="1" min="6" max="6"/>
    <col width="16.04" customWidth="1" min="7" max="7"/>
    <col width="17.05" customWidth="1" min="8" max="8"/>
    <col width="14.02" customWidth="1" min="9" max="9"/>
    <col width="15.03" customWidth="1" min="10" max="10"/>
    <col width="13.01" customWidth="1" min="11" max="11"/>
    <col width="31.95" customWidth="1" min="12" max="12"/>
    <col width="8.59" customWidth="1" min="13" max="13"/>
    <col hidden="1" width="8.59" customWidth="1" min="14" max="14"/>
    <col hidden="1" width="8.59" customWidth="1" min="15" max="15"/>
    <col hidden="1" width="8.59" customWidth="1" min="16" max="16"/>
    <col hidden="1" width="8.59" customWidth="1" min="17" max="17"/>
    <col hidden="1"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 width="8.59" customWidth="1" min="27" max="27"/>
    <col width="8.59" customWidth="1" min="28" max="28"/>
    <col width="8.59" customWidth="1" min="29" max="29"/>
    <col width="8.59" customWidth="1" min="30" max="30"/>
    <col width="8.59" customWidth="1" min="31" max="31"/>
    <col width="8.59" customWidth="1" min="32" max="32"/>
  </cols>
  <sheetData>
    <row r="1" ht="22.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row>
    <row r="2" ht="22.5" customHeight="1">
      <c r="A2" s="2" t="inlineStr">
        <is>
          <t>Projeto Breno: registro rápido</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row>
    <row r="3" ht="22.5" customHeight="1">
      <c r="A3" s="1" t="inlineStr">
        <is>
          <t>Use o menu Projeto. Salve o que souber; informações faltantes não impedem retomar o acompanhamento.</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row>
    <row r="4" ht="22.5" customHeight="1">
      <c r="A4" s="1" t="inlineStr">
        <is>
          <t>Ação rápida</t>
        </is>
      </c>
      <c r="B4" s="1" t="inlineStr">
        <is>
          <t>—</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row>
    <row r="5" ht="22.5" customHeight="1">
      <c r="A5" s="1" t="inlineStr">
        <is>
          <t>Data</t>
        </is>
      </c>
      <c r="B5" s="3">
        <f>TODAY()</f>
        <v/>
      </c>
      <c r="C5" s="1" t="n"/>
      <c r="D5" s="1" t="inlineStr">
        <is>
          <t>Status</t>
        </is>
      </c>
      <c r="E5" s="4" t="inlineStr">
        <is>
          <t>Planilha 4.0: objetivo, meta e ficha em vigor vêm das abas Objetivos, Metas e Fichas.</t>
        </is>
      </c>
      <c r="M5" s="1" t="n"/>
      <c r="N5" s="1" t="n"/>
      <c r="O5" s="1" t="n"/>
      <c r="P5" s="1" t="n"/>
      <c r="Q5" s="1" t="n"/>
      <c r="R5" s="1" t="n"/>
      <c r="S5" s="1" t="n"/>
      <c r="T5" s="1" t="n"/>
      <c r="U5" s="1" t="n"/>
      <c r="V5" s="1" t="n"/>
      <c r="W5" s="1" t="n"/>
      <c r="X5" s="1" t="n"/>
      <c r="Y5" s="1" t="n"/>
      <c r="Z5" s="1" t="n"/>
      <c r="AA5" s="1" t="n"/>
      <c r="AB5" s="1" t="n"/>
      <c r="AC5" s="1" t="n"/>
      <c r="AD5" s="1" t="n"/>
      <c r="AE5" s="1" t="n"/>
      <c r="AF5" s="1" t="n"/>
    </row>
    <row r="6" ht="22.5" customHeight="1">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c r="AD6" s="1" t="n"/>
      <c r="AE6" s="1" t="n"/>
      <c r="AF6" s="1" t="n"/>
    </row>
    <row r="7" ht="22.5" customHeight="1">
      <c r="A7" s="1" t="inlineStr">
        <is>
          <t>Peso kg</t>
        </is>
      </c>
      <c r="B7" s="5" t="n"/>
      <c r="C7" s="1" t="n"/>
      <c r="D7" s="1" t="inlineStr">
        <is>
          <t>Sono h</t>
        </is>
      </c>
      <c r="E7" s="5" t="n"/>
      <c r="F7" s="1" t="n"/>
      <c r="G7" s="1" t="inlineStr">
        <is>
          <t>Passos</t>
        </is>
      </c>
      <c r="H7" s="5" t="n"/>
      <c r="I7" s="1" t="n"/>
      <c r="J7" s="1" t="inlineStr">
        <is>
          <t>Cardio min</t>
        </is>
      </c>
      <c r="K7" s="5" t="n"/>
      <c r="L7" s="1" t="n"/>
      <c r="M7" s="1" t="n"/>
      <c r="N7" s="1" t="n"/>
      <c r="O7" s="1" t="n"/>
      <c r="P7" s="1" t="n"/>
      <c r="Q7" s="1" t="n"/>
      <c r="R7" s="1" t="n"/>
      <c r="S7" s="1" t="n"/>
      <c r="T7" s="1" t="n"/>
      <c r="U7" s="1" t="n"/>
      <c r="V7" s="1" t="n"/>
      <c r="W7" s="1" t="n"/>
      <c r="X7" s="1" t="n"/>
      <c r="Y7" s="1" t="n"/>
      <c r="Z7" s="1" t="n"/>
      <c r="AA7" s="1" t="n"/>
      <c r="AB7" s="1" t="n"/>
      <c r="AC7" s="1" t="n"/>
      <c r="AD7" s="1" t="n"/>
      <c r="AE7" s="1" t="n"/>
      <c r="AF7" s="1" t="n"/>
    </row>
    <row r="8" ht="22.5" customHeight="1">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c r="AD8" s="1" t="n"/>
      <c r="AE8" s="1" t="n"/>
      <c r="AF8" s="1" t="n"/>
    </row>
    <row r="9" ht="22.5" customHeight="1">
      <c r="A9" s="1" t="inlineStr">
        <is>
          <t>Registrou tudo?</t>
        </is>
      </c>
      <c r="B9" s="5" t="inlineStr">
        <is>
          <t>Não</t>
        </is>
      </c>
      <c r="C9" s="1" t="n"/>
      <c r="D9" s="1" t="inlineStr">
        <is>
          <t>Muay Thai?</t>
        </is>
      </c>
      <c r="E9" s="5" t="inlineStr">
        <is>
          <t>Não</t>
        </is>
      </c>
      <c r="F9" s="1" t="n"/>
      <c r="G9" s="1" t="inlineStr">
        <is>
          <t>Cintura cm</t>
        </is>
      </c>
      <c r="H9" s="5" t="n"/>
      <c r="I9" s="1" t="n"/>
      <c r="J9" s="1" t="inlineStr">
        <is>
          <t>Fome 1–5</t>
        </is>
      </c>
      <c r="K9" s="5" t="n"/>
      <c r="L9" s="1" t="n"/>
      <c r="M9" s="1" t="n"/>
      <c r="N9" s="1" t="n"/>
      <c r="O9" s="1" t="n"/>
      <c r="P9" s="1" t="n"/>
      <c r="Q9" s="1" t="n"/>
      <c r="R9" s="1" t="n"/>
      <c r="S9" s="1" t="n"/>
      <c r="T9" s="1" t="n"/>
      <c r="U9" s="1" t="n"/>
      <c r="V9" s="1" t="n"/>
      <c r="W9" s="1" t="n"/>
      <c r="X9" s="1" t="n"/>
      <c r="Y9" s="1" t="n"/>
      <c r="Z9" s="1" t="n"/>
      <c r="AA9" s="1" t="n"/>
      <c r="AB9" s="1" t="n"/>
      <c r="AC9" s="1" t="n"/>
      <c r="AD9" s="1" t="n"/>
      <c r="AE9" s="1" t="n"/>
      <c r="AF9" s="1" t="n"/>
    </row>
    <row r="10" ht="22.5" customHeight="1">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c r="AD10" s="1" t="n"/>
      <c r="AE10" s="1" t="n"/>
      <c r="AF10" s="1" t="n"/>
    </row>
    <row r="11" ht="22.5" customHeight="1">
      <c r="A11" s="1" t="inlineStr">
        <is>
          <t>Cansaço 1–5</t>
        </is>
      </c>
      <c r="B11" s="5" t="n"/>
      <c r="C11" s="1" t="n"/>
      <c r="D11" s="1" t="inlineStr">
        <is>
          <t>Observações</t>
        </is>
      </c>
      <c r="E11" s="5" t="n"/>
      <c r="M11" s="1" t="n"/>
      <c r="N11" s="1" t="n"/>
      <c r="O11" s="1" t="n"/>
      <c r="P11" s="1" t="n"/>
      <c r="Q11" s="1" t="n"/>
      <c r="R11" s="1" t="n"/>
      <c r="S11" s="1" t="n"/>
      <c r="T11" s="1" t="n"/>
      <c r="U11" s="1" t="n"/>
      <c r="V11" s="1" t="n"/>
      <c r="W11" s="1" t="n"/>
      <c r="X11" s="1" t="n"/>
      <c r="Y11" s="1" t="n"/>
      <c r="Z11" s="1" t="n"/>
      <c r="AA11" s="1" t="n"/>
      <c r="AB11" s="1" t="n"/>
      <c r="AC11" s="1" t="n"/>
      <c r="AD11" s="1" t="n"/>
      <c r="AE11" s="1" t="n"/>
      <c r="AF11" s="1" t="n"/>
    </row>
    <row r="12" ht="22.5" customHeight="1">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c r="AF12" s="1" t="n"/>
    </row>
    <row r="13" ht="22.5" customHeight="1">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c r="AE13" s="1" t="n"/>
      <c r="AF13" s="1" t="n"/>
    </row>
    <row r="14" ht="25.5" customHeight="1">
      <c r="A14" s="1" t="inlineStr">
        <is>
          <t>Favorita</t>
        </is>
      </c>
      <c r="B14" s="6" t="n"/>
      <c r="D14" s="1" t="inlineStr">
        <is>
          <t>Porções</t>
        </is>
      </c>
      <c r="E14" s="5" t="n">
        <v>1</v>
      </c>
      <c r="F14" s="1" t="n"/>
      <c r="G14" s="1" t="inlineStr">
        <is>
          <t>Refeição</t>
        </is>
      </c>
      <c r="H14" s="5" t="inlineStr">
        <is>
          <t>Café da manhã</t>
        </is>
      </c>
      <c r="J14" s="1" t="n"/>
      <c r="K14" s="1" t="n"/>
      <c r="L14" s="1" t="n"/>
      <c r="M14" s="1" t="n"/>
      <c r="N14" s="1" t="n"/>
      <c r="O14" s="1" t="n"/>
      <c r="P14" s="1" t="n"/>
      <c r="Q14" s="1" t="n"/>
      <c r="R14" s="1" t="n"/>
      <c r="S14" s="1" t="n"/>
      <c r="T14" s="1" t="n"/>
      <c r="U14" s="1" t="n"/>
      <c r="V14" s="1" t="n"/>
      <c r="W14" s="1" t="n"/>
      <c r="X14" s="1" t="n"/>
      <c r="Y14" s="1" t="n"/>
      <c r="Z14" s="1" t="n"/>
      <c r="AA14" s="1" t="n"/>
      <c r="AB14" s="1" t="n"/>
      <c r="AC14" s="1" t="n"/>
      <c r="AD14" s="1" t="n"/>
      <c r="AE14" s="1" t="n"/>
      <c r="AF14" s="1" t="n"/>
    </row>
    <row r="15" ht="25.5" customHeight="1">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c r="AD15" s="1" t="n"/>
      <c r="AE15" s="1" t="n"/>
      <c r="AF15" s="1" t="n"/>
    </row>
    <row r="16" ht="25.5" customHeight="1">
      <c r="A16" s="1" t="inlineStr">
        <is>
          <t>Alimento</t>
        </is>
      </c>
      <c r="B16" s="6" t="n"/>
      <c r="D16" s="1" t="inlineStr">
        <is>
          <t>Quantidade</t>
        </is>
      </c>
      <c r="E16" s="5" t="n"/>
      <c r="F16" s="1" t="n"/>
      <c r="G16" s="1" t="inlineStr">
        <is>
          <t>Medição</t>
        </is>
      </c>
      <c r="H16" s="5" t="inlineStr">
        <is>
          <t>Estimada</t>
        </is>
      </c>
      <c r="J16" s="1" t="inlineStr">
        <is>
          <t>Unidade →</t>
        </is>
      </c>
      <c r="K16" s="1" t="n"/>
      <c r="L16" s="1" t="n"/>
      <c r="M16" s="1" t="n"/>
      <c r="N16" s="1" t="n"/>
      <c r="O16" s="1" t="n"/>
      <c r="P16" s="1" t="n"/>
      <c r="Q16" s="1" t="n"/>
      <c r="R16" s="1" t="n"/>
      <c r="S16" s="1" t="n"/>
      <c r="T16" s="1" t="n"/>
      <c r="U16" s="1" t="n"/>
      <c r="V16" s="1" t="n"/>
      <c r="W16" s="1" t="n"/>
      <c r="X16" s="1" t="n"/>
      <c r="Y16" s="1" t="n"/>
      <c r="Z16" s="1" t="n"/>
      <c r="AA16" s="1" t="n"/>
      <c r="AB16" s="1" t="n"/>
      <c r="AC16" s="1" t="n"/>
      <c r="AD16" s="1" t="n"/>
      <c r="AE16" s="1" t="n"/>
      <c r="AF16" s="1" t="n"/>
    </row>
    <row r="17" ht="25.5" customHeight="1">
      <c r="A17" s="1" t="inlineStr">
        <is>
          <t>Escolha a unidade: 2 un de ovo ≠ 2 g. Conversões caseiras são estimadas.</t>
        </is>
      </c>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c r="AD17" s="1" t="n"/>
      <c r="AE17" s="1" t="n"/>
      <c r="AF17" s="1" t="n"/>
    </row>
    <row r="18" ht="25.5" customHeight="1">
      <c r="A18" s="1" t="inlineStr">
        <is>
          <t>Copiar da data</t>
        </is>
      </c>
      <c r="B18" s="7" t="n"/>
      <c r="C18" s="1" t="n"/>
      <c r="D18" s="1" t="inlineStr">
        <is>
          <t>Refeição ou Todas</t>
        </is>
      </c>
      <c r="E18" s="5" t="inlineStr">
        <is>
          <t>Todas</t>
        </is>
      </c>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c r="AE18" s="1" t="n"/>
      <c r="AF18" s="1" t="n"/>
    </row>
    <row r="19" ht="22.5" customHeight="1">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c r="AE19" s="1" t="n"/>
      <c r="AF19" s="1" t="n"/>
    </row>
    <row r="20" ht="22.5" customHeight="1">
      <c r="A20" s="1" t="inlineStr">
        <is>
          <t>Refeição sem cálculo</t>
        </is>
      </c>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c r="AD20" s="1" t="n"/>
      <c r="AE20" s="1" t="n"/>
      <c r="AF20" s="1" t="n"/>
    </row>
    <row r="21" ht="22.5" customHeight="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c r="AF21" s="1" t="n"/>
    </row>
    <row r="22" ht="22.5" customHeight="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c r="AD22" s="1" t="n"/>
      <c r="AE22" s="1" t="n"/>
      <c r="AF22" s="1" t="n"/>
    </row>
    <row r="23" ht="22.5" customHeight="1">
      <c r="A23" s="1" t="inlineStr">
        <is>
          <t>Sessão</t>
        </is>
      </c>
      <c r="B23" s="5" t="n"/>
      <c r="C23" s="1" t="n"/>
      <c r="D23" s="1" t="inlineStr">
        <is>
          <t>Fase</t>
        </is>
      </c>
      <c r="E23" s="5" t="inlineStr">
        <is>
          <t>Regular</t>
        </is>
      </c>
      <c r="F23" s="1" t="n"/>
      <c r="G23" s="1" t="inlineStr">
        <is>
          <t>Ficha carregada</t>
        </is>
      </c>
      <c r="H23" s="1" t="n"/>
      <c r="I23" s="1" t="n"/>
      <c r="J23" s="8" t="n"/>
      <c r="K23" s="8" t="n"/>
      <c r="L23" s="1" t="n"/>
      <c r="M23" s="1" t="n"/>
      <c r="N23" s="1" t="n"/>
      <c r="O23" s="1" t="n"/>
      <c r="P23" s="1" t="n"/>
      <c r="Q23" s="1" t="n"/>
      <c r="R23" s="1" t="n"/>
      <c r="S23" s="1" t="n"/>
      <c r="T23" s="1" t="n"/>
      <c r="U23" s="1" t="n"/>
      <c r="V23" s="1" t="n"/>
      <c r="W23" s="1" t="n"/>
      <c r="X23" s="1" t="n"/>
      <c r="Y23" s="1" t="n"/>
      <c r="Z23" s="9" t="n"/>
      <c r="AA23" s="1" t="n"/>
      <c r="AB23" s="1" t="n"/>
      <c r="AC23" s="1" t="n"/>
      <c r="AD23" s="1" t="n"/>
      <c r="AE23" s="1" t="n"/>
      <c r="AF23" s="1" t="n"/>
    </row>
    <row r="24" ht="22.5" customHeight="1">
      <c r="A24" s="1" t="inlineStr">
        <is>
          <t>Carga: siga o critério do cadastro de Exercícios. Preparação em cinza; work sets em verde.</t>
        </is>
      </c>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row>
    <row r="25" ht="22.5" customHeight="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row>
    <row r="26" ht="48.75" customHeight="1">
      <c r="A26" s="10" t="inlineStr">
        <is>
          <t>Exercício</t>
        </is>
      </c>
      <c r="B26" s="10" t="inlineStr">
        <is>
          <t>Aquec. kg</t>
        </is>
      </c>
      <c r="C26" s="10" t="inlineStr">
        <is>
          <t>Aquec. reps</t>
        </is>
      </c>
      <c r="D26" s="10" t="inlineStr">
        <is>
          <t>Feeder kg</t>
        </is>
      </c>
      <c r="E26" s="10" t="inlineStr">
        <is>
          <t>Feeder reps</t>
        </is>
      </c>
      <c r="F26" s="10" t="inlineStr">
        <is>
          <t>Work 1 kg</t>
        </is>
      </c>
      <c r="G26" s="10" t="inlineStr">
        <is>
          <t>Work 1 reps</t>
        </is>
      </c>
      <c r="H26" s="10" t="inlineStr">
        <is>
          <t>Work 2 kg</t>
        </is>
      </c>
      <c r="I26" s="10" t="inlineStr">
        <is>
          <t>Work 2 reps</t>
        </is>
      </c>
      <c r="J26" s="10" t="inlineStr">
        <is>
          <t>RIR work 2</t>
        </is>
      </c>
      <c r="K26" s="10" t="inlineStr">
        <is>
          <t>Dor 0–10</t>
        </is>
      </c>
      <c r="L26" s="10" t="inlineStr">
        <is>
          <t>Observação</t>
        </is>
      </c>
      <c r="M26" s="10" t="inlineStr">
        <is>
          <t>RIR work 1</t>
        </is>
      </c>
      <c r="N26" s="1" t="n"/>
      <c r="O26" s="1" t="n"/>
      <c r="P26" s="1" t="n"/>
      <c r="Q26" s="1" t="n"/>
      <c r="R26" s="1" t="n"/>
      <c r="S26" s="1" t="n"/>
      <c r="T26" s="1" t="n"/>
      <c r="U26" s="1" t="n"/>
      <c r="V26" s="1" t="n"/>
      <c r="W26" s="1" t="n"/>
      <c r="X26" s="1" t="n"/>
      <c r="Y26" s="1" t="n"/>
      <c r="Z26" s="1" t="n"/>
      <c r="AA26" s="1" t="n"/>
      <c r="AB26" s="1" t="n"/>
      <c r="AC26" s="1" t="n"/>
      <c r="AD26" s="1" t="n"/>
      <c r="AE26" s="1" t="n"/>
      <c r="AF26" s="1" t="n"/>
    </row>
    <row r="27" ht="22.5" customHeight="1">
      <c r="A27" s="5" t="n"/>
      <c r="B27" s="11" t="n"/>
      <c r="C27" s="11" t="n"/>
      <c r="D27" s="11" t="n"/>
      <c r="E27" s="11" t="n"/>
      <c r="F27" s="12" t="n"/>
      <c r="G27" s="12" t="n"/>
      <c r="H27" s="12" t="n"/>
      <c r="I27" s="12" t="n"/>
      <c r="J27" s="13" t="n"/>
      <c r="K27" s="13" t="n"/>
      <c r="L27" s="13" t="n"/>
      <c r="M27" s="13" t="n"/>
      <c r="N27" s="1" t="n"/>
      <c r="O27" s="1" t="n"/>
      <c r="P27" s="1" t="n"/>
      <c r="Q27" s="1" t="n"/>
      <c r="R27" s="1" t="n"/>
      <c r="S27" s="1" t="n"/>
      <c r="T27" s="1" t="n"/>
      <c r="U27" s="1" t="n"/>
      <c r="V27" s="1" t="n"/>
      <c r="W27" s="1" t="n"/>
      <c r="X27" s="1" t="n"/>
      <c r="Y27" s="1" t="n"/>
      <c r="Z27" s="1" t="n"/>
      <c r="AA27" s="1" t="n"/>
      <c r="AB27" s="1" t="n"/>
      <c r="AC27" s="1" t="n"/>
      <c r="AD27" s="1" t="n"/>
      <c r="AE27" s="1" t="n"/>
      <c r="AF27" s="1" t="n"/>
    </row>
    <row r="28" ht="22.5" customHeight="1">
      <c r="A28" s="5" t="n"/>
      <c r="B28" s="11" t="n"/>
      <c r="C28" s="11" t="n"/>
      <c r="D28" s="11" t="n"/>
      <c r="E28" s="11" t="n"/>
      <c r="F28" s="12" t="n"/>
      <c r="G28" s="12" t="n"/>
      <c r="H28" s="12" t="n"/>
      <c r="I28" s="12" t="n"/>
      <c r="J28" s="13" t="n"/>
      <c r="K28" s="13" t="n"/>
      <c r="L28" s="13" t="n"/>
      <c r="M28" s="13" t="n"/>
      <c r="N28" s="1" t="n"/>
      <c r="O28" s="1" t="n"/>
      <c r="P28" s="1" t="n"/>
      <c r="Q28" s="1" t="n"/>
      <c r="R28" s="1" t="n"/>
      <c r="S28" s="1" t="n"/>
      <c r="T28" s="1" t="n"/>
      <c r="U28" s="1" t="n"/>
      <c r="V28" s="1" t="n"/>
      <c r="W28" s="1" t="n"/>
      <c r="X28" s="1" t="n"/>
      <c r="Y28" s="1" t="n"/>
      <c r="Z28" s="1" t="n"/>
      <c r="AA28" s="1" t="n"/>
      <c r="AB28" s="1" t="n"/>
      <c r="AC28" s="1" t="n"/>
      <c r="AD28" s="1" t="n"/>
      <c r="AE28" s="1" t="n"/>
      <c r="AF28" s="1" t="n"/>
    </row>
    <row r="29" ht="22.5" customHeight="1">
      <c r="A29" s="5" t="n"/>
      <c r="B29" s="11" t="n"/>
      <c r="C29" s="11" t="n"/>
      <c r="D29" s="11" t="n"/>
      <c r="E29" s="11" t="n"/>
      <c r="F29" s="12" t="n"/>
      <c r="G29" s="12" t="n"/>
      <c r="H29" s="12" t="n"/>
      <c r="I29" s="12" t="n"/>
      <c r="J29" s="13" t="n"/>
      <c r="K29" s="13" t="n"/>
      <c r="L29" s="13" t="n"/>
      <c r="M29" s="13" t="n"/>
      <c r="N29" s="1" t="n"/>
      <c r="O29" s="1" t="n"/>
      <c r="P29" s="1" t="n"/>
      <c r="Q29" s="1" t="n"/>
      <c r="R29" s="1" t="n"/>
      <c r="S29" s="1" t="n"/>
      <c r="T29" s="1" t="n"/>
      <c r="U29" s="1" t="n"/>
      <c r="V29" s="1" t="n"/>
      <c r="W29" s="1" t="n"/>
      <c r="X29" s="1" t="n"/>
      <c r="Y29" s="1" t="n"/>
      <c r="Z29" s="1" t="n"/>
      <c r="AA29" s="1" t="n"/>
      <c r="AB29" s="1" t="n"/>
      <c r="AC29" s="1" t="n"/>
      <c r="AD29" s="1" t="n"/>
      <c r="AE29" s="1" t="n"/>
      <c r="AF29" s="1" t="n"/>
    </row>
    <row r="30" ht="22.5" customHeight="1">
      <c r="A30" s="5" t="n"/>
      <c r="B30" s="11" t="n"/>
      <c r="C30" s="11" t="n"/>
      <c r="D30" s="11" t="n"/>
      <c r="E30" s="11" t="n"/>
      <c r="F30" s="12" t="n"/>
      <c r="G30" s="12" t="n"/>
      <c r="H30" s="12" t="n"/>
      <c r="I30" s="12" t="n"/>
      <c r="J30" s="13" t="n"/>
      <c r="K30" s="13" t="n"/>
      <c r="L30" s="13" t="n"/>
      <c r="M30" s="13" t="n"/>
      <c r="N30" s="1" t="n"/>
      <c r="O30" s="1" t="n"/>
      <c r="P30" s="1" t="n"/>
      <c r="Q30" s="1" t="n"/>
      <c r="R30" s="1" t="n"/>
      <c r="S30" s="1" t="n"/>
      <c r="T30" s="1" t="n"/>
      <c r="U30" s="1" t="n"/>
      <c r="V30" s="1" t="n"/>
      <c r="W30" s="1" t="n"/>
      <c r="X30" s="1" t="n"/>
      <c r="Y30" s="1" t="n"/>
      <c r="Z30" s="1" t="n"/>
      <c r="AA30" s="1" t="n"/>
      <c r="AB30" s="1" t="n"/>
      <c r="AC30" s="1" t="n"/>
      <c r="AD30" s="1" t="n"/>
      <c r="AE30" s="1" t="n"/>
      <c r="AF30" s="1" t="n"/>
    </row>
    <row r="31" ht="22.5" customHeight="1">
      <c r="A31" s="5" t="n"/>
      <c r="B31" s="11" t="n"/>
      <c r="C31" s="11" t="n"/>
      <c r="D31" s="11" t="n"/>
      <c r="E31" s="11" t="n"/>
      <c r="F31" s="12" t="n"/>
      <c r="G31" s="12" t="n"/>
      <c r="H31" s="12" t="n"/>
      <c r="I31" s="12" t="n"/>
      <c r="J31" s="13" t="n"/>
      <c r="K31" s="13" t="n"/>
      <c r="L31" s="13" t="n"/>
      <c r="M31" s="13" t="n"/>
      <c r="N31" s="1" t="n"/>
      <c r="O31" s="1" t="n"/>
      <c r="P31" s="1" t="n"/>
      <c r="Q31" s="1" t="n"/>
      <c r="R31" s="1" t="n"/>
      <c r="S31" s="1" t="n"/>
      <c r="T31" s="1" t="n"/>
      <c r="U31" s="1" t="n"/>
      <c r="V31" s="1" t="n"/>
      <c r="W31" s="1" t="n"/>
      <c r="X31" s="1" t="n"/>
      <c r="Y31" s="1" t="n"/>
      <c r="Z31" s="1" t="n"/>
      <c r="AA31" s="1" t="n"/>
      <c r="AB31" s="1" t="n"/>
      <c r="AC31" s="1" t="n"/>
      <c r="AD31" s="1" t="n"/>
      <c r="AE31" s="1" t="n"/>
      <c r="AF31" s="1" t="n"/>
    </row>
    <row r="32" ht="22.5" customHeight="1">
      <c r="A32" s="5" t="n"/>
      <c r="B32" s="11" t="n"/>
      <c r="C32" s="11" t="n"/>
      <c r="D32" s="11" t="n"/>
      <c r="E32" s="11" t="n"/>
      <c r="F32" s="12" t="n"/>
      <c r="G32" s="12" t="n"/>
      <c r="H32" s="12" t="n"/>
      <c r="I32" s="12" t="n"/>
      <c r="J32" s="13" t="n"/>
      <c r="K32" s="13" t="n"/>
      <c r="L32" s="13" t="n"/>
      <c r="M32" s="13" t="n"/>
      <c r="N32" s="1" t="n"/>
      <c r="O32" s="1" t="n"/>
      <c r="P32" s="1" t="n"/>
      <c r="Q32" s="1" t="n"/>
      <c r="R32" s="1" t="n"/>
      <c r="S32" s="1" t="n"/>
      <c r="T32" s="1" t="n"/>
      <c r="U32" s="1" t="n"/>
      <c r="V32" s="1" t="n"/>
      <c r="W32" s="1" t="n"/>
      <c r="X32" s="1" t="n"/>
      <c r="Y32" s="1" t="n"/>
      <c r="Z32" s="1" t="n"/>
      <c r="AA32" s="1" t="n"/>
      <c r="AB32" s="1" t="n"/>
      <c r="AC32" s="1" t="n"/>
      <c r="AD32" s="1" t="n"/>
      <c r="AE32" s="1" t="n"/>
      <c r="AF32" s="1" t="n"/>
    </row>
    <row r="33" ht="22.5" customHeight="1">
      <c r="A33" s="5" t="n"/>
      <c r="B33" s="11" t="n"/>
      <c r="C33" s="11" t="n"/>
      <c r="D33" s="11" t="n"/>
      <c r="E33" s="11" t="n"/>
      <c r="F33" s="12" t="n"/>
      <c r="G33" s="12" t="n"/>
      <c r="H33" s="12" t="n"/>
      <c r="I33" s="12" t="n"/>
      <c r="J33" s="13" t="n"/>
      <c r="K33" s="13" t="n"/>
      <c r="L33" s="13" t="n"/>
      <c r="M33" s="13" t="n"/>
      <c r="N33" s="1" t="n"/>
      <c r="O33" s="1" t="n"/>
      <c r="P33" s="1" t="n"/>
      <c r="Q33" s="1" t="n"/>
      <c r="R33" s="1" t="n"/>
      <c r="S33" s="1" t="n"/>
      <c r="T33" s="1" t="n"/>
      <c r="U33" s="1" t="n"/>
      <c r="V33" s="1" t="n"/>
      <c r="W33" s="1" t="n"/>
      <c r="X33" s="1" t="n"/>
      <c r="Y33" s="1" t="n"/>
      <c r="Z33" s="1" t="n"/>
      <c r="AA33" s="1" t="n"/>
      <c r="AB33" s="1" t="n"/>
      <c r="AC33" s="1" t="n"/>
      <c r="AD33" s="1" t="n"/>
      <c r="AE33" s="1" t="n"/>
      <c r="AF33" s="1" t="n"/>
    </row>
    <row r="34" ht="22.5" customHeight="1">
      <c r="A34" s="5" t="n"/>
      <c r="B34" s="11" t="n"/>
      <c r="C34" s="11" t="n"/>
      <c r="D34" s="11" t="n"/>
      <c r="E34" s="11" t="n"/>
      <c r="F34" s="12" t="n"/>
      <c r="G34" s="12" t="n"/>
      <c r="H34" s="12" t="n"/>
      <c r="I34" s="12" t="n"/>
      <c r="J34" s="13" t="n"/>
      <c r="K34" s="13" t="n"/>
      <c r="L34" s="13" t="n"/>
      <c r="M34" s="13" t="n"/>
      <c r="N34" s="1" t="n"/>
      <c r="O34" s="1" t="n"/>
      <c r="P34" s="1" t="n"/>
      <c r="Q34" s="1" t="n"/>
      <c r="R34" s="1" t="n"/>
      <c r="S34" s="1" t="n"/>
      <c r="T34" s="1" t="n"/>
      <c r="U34" s="1" t="n"/>
      <c r="V34" s="1" t="n"/>
      <c r="W34" s="1" t="n"/>
      <c r="X34" s="1" t="n"/>
      <c r="Y34" s="1" t="n"/>
      <c r="Z34" s="1" t="n"/>
      <c r="AA34" s="1" t="n"/>
      <c r="AB34" s="1" t="n"/>
      <c r="AC34" s="1" t="n"/>
      <c r="AD34" s="1" t="n"/>
      <c r="AE34" s="1" t="n"/>
      <c r="AF34" s="1" t="n"/>
    </row>
    <row r="35" ht="22.5" customHeight="1">
      <c r="A35" s="5" t="n"/>
      <c r="B35" s="11" t="n"/>
      <c r="C35" s="11" t="n"/>
      <c r="D35" s="11" t="n"/>
      <c r="E35" s="11" t="n"/>
      <c r="F35" s="12" t="n"/>
      <c r="G35" s="12" t="n"/>
      <c r="H35" s="12" t="n"/>
      <c r="I35" s="12" t="n"/>
      <c r="J35" s="13" t="n"/>
      <c r="K35" s="13" t="n"/>
      <c r="L35" s="13" t="n"/>
      <c r="M35" s="13" t="n"/>
      <c r="N35" s="1" t="n"/>
      <c r="O35" s="1" t="n"/>
      <c r="P35" s="1" t="n"/>
      <c r="Q35" s="1" t="n"/>
      <c r="R35" s="1" t="n"/>
      <c r="S35" s="1" t="n"/>
      <c r="T35" s="1" t="n"/>
      <c r="U35" s="1" t="n"/>
      <c r="V35" s="1" t="n"/>
      <c r="W35" s="1" t="n"/>
      <c r="X35" s="1" t="n"/>
      <c r="Y35" s="1" t="n"/>
      <c r="Z35" s="1" t="n"/>
      <c r="AA35" s="1" t="n"/>
      <c r="AB35" s="1" t="n"/>
      <c r="AC35" s="1" t="n"/>
      <c r="AD35" s="1" t="n"/>
      <c r="AE35" s="1" t="n"/>
      <c r="AF35" s="1" t="n"/>
    </row>
    <row r="36" ht="22.5" customHeight="1">
      <c r="A36" s="5" t="n"/>
      <c r="B36" s="11" t="n"/>
      <c r="C36" s="11" t="n"/>
      <c r="D36" s="11" t="n"/>
      <c r="E36" s="11" t="n"/>
      <c r="F36" s="12" t="n"/>
      <c r="G36" s="12" t="n"/>
      <c r="H36" s="12" t="n"/>
      <c r="I36" s="12" t="n"/>
      <c r="J36" s="13" t="n"/>
      <c r="K36" s="13" t="n"/>
      <c r="L36" s="13" t="n"/>
      <c r="M36" s="13" t="n"/>
      <c r="N36" s="1" t="n"/>
      <c r="O36" s="1" t="n"/>
      <c r="P36" s="1" t="n"/>
      <c r="Q36" s="1" t="n"/>
      <c r="R36" s="1" t="n"/>
      <c r="S36" s="1" t="n"/>
      <c r="T36" s="1" t="n"/>
      <c r="U36" s="1" t="n"/>
      <c r="V36" s="1" t="n"/>
      <c r="W36" s="1" t="n"/>
      <c r="X36" s="1" t="n"/>
      <c r="Y36" s="1" t="n"/>
      <c r="Z36" s="1" t="n"/>
      <c r="AA36" s="1" t="n"/>
      <c r="AB36" s="1" t="n"/>
      <c r="AC36" s="1" t="n"/>
      <c r="AD36" s="1" t="n"/>
      <c r="AE36" s="1" t="n"/>
      <c r="AF36" s="1" t="n"/>
    </row>
    <row r="37" ht="22.5" customHeight="1">
      <c r="A37" s="5" t="n"/>
      <c r="B37" s="11" t="n"/>
      <c r="C37" s="11" t="n"/>
      <c r="D37" s="11" t="n"/>
      <c r="E37" s="11" t="n"/>
      <c r="F37" s="12" t="n"/>
      <c r="G37" s="12" t="n"/>
      <c r="H37" s="12" t="n"/>
      <c r="I37" s="12" t="n"/>
      <c r="J37" s="13" t="n"/>
      <c r="K37" s="13" t="n"/>
      <c r="L37" s="13" t="n"/>
      <c r="M37" s="13" t="n"/>
      <c r="N37" s="1" t="n"/>
      <c r="O37" s="1" t="n"/>
      <c r="P37" s="1" t="n"/>
      <c r="Q37" s="1" t="n"/>
      <c r="R37" s="1" t="n"/>
      <c r="S37" s="1" t="n"/>
      <c r="T37" s="1" t="n"/>
      <c r="U37" s="1" t="n"/>
      <c r="V37" s="1" t="n"/>
      <c r="W37" s="1" t="n"/>
      <c r="X37" s="1" t="n"/>
      <c r="Y37" s="1" t="n"/>
      <c r="Z37" s="1" t="n"/>
      <c r="AA37" s="1" t="n"/>
      <c r="AB37" s="1" t="n"/>
      <c r="AC37" s="1" t="n"/>
      <c r="AD37" s="1" t="n"/>
      <c r="AE37" s="1" t="n"/>
      <c r="AF37" s="1" t="n"/>
    </row>
    <row r="38" ht="22.5" customHeight="1">
      <c r="A38" s="5" t="n"/>
      <c r="B38" s="11" t="n"/>
      <c r="C38" s="11" t="n"/>
      <c r="D38" s="11" t="n"/>
      <c r="E38" s="11" t="n"/>
      <c r="F38" s="12" t="n"/>
      <c r="G38" s="12" t="n"/>
      <c r="H38" s="12" t="n"/>
      <c r="I38" s="12" t="n"/>
      <c r="J38" s="13" t="n"/>
      <c r="K38" s="13" t="n"/>
      <c r="L38" s="13" t="n"/>
      <c r="M38" s="13" t="n"/>
      <c r="N38" s="1" t="n"/>
      <c r="O38" s="1" t="n"/>
      <c r="P38" s="1" t="n"/>
      <c r="Q38" s="1" t="n"/>
      <c r="R38" s="1" t="n"/>
      <c r="S38" s="1" t="n"/>
      <c r="T38" s="1" t="n"/>
      <c r="U38" s="1" t="n"/>
      <c r="V38" s="1" t="n"/>
      <c r="W38" s="1" t="n"/>
      <c r="X38" s="1" t="n"/>
      <c r="Y38" s="1" t="n"/>
      <c r="Z38" s="1" t="n"/>
      <c r="AA38" s="1" t="n"/>
      <c r="AB38" s="1" t="n"/>
      <c r="AC38" s="1" t="n"/>
      <c r="AD38" s="1" t="n"/>
      <c r="AE38" s="1" t="n"/>
      <c r="AF38" s="1" t="n"/>
    </row>
    <row r="39" ht="22.5" customHeight="1">
      <c r="A39" s="1" t="inlineStr">
        <is>
          <t>RIR = repetições em reserva. Informe para cada work set; 0 é um registro válido.</t>
        </is>
      </c>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row>
    <row r="40" ht="22.5" customHeight="1">
      <c r="A40" s="1" t="inlineStr">
        <is>
          <t>Feeder: 6 reps longe da falha. Trabalho: 2×6–10, 0–1 RIR. Apenas work sets entram nos indicadores.</t>
        </is>
      </c>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row>
    <row r="41" ht="22.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row>
    <row r="42" ht="22.5" customHeight="1">
      <c r="A42" s="1" t="inlineStr">
        <is>
          <t>Meta × realizado do dia</t>
        </is>
      </c>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row>
    <row r="43" ht="22.5" customHeight="1">
      <c r="A43" s="1" t="inlineStr">
        <is>
          <t>Indicador</t>
        </is>
      </c>
      <c r="B43" s="1" t="inlineStr">
        <is>
          <t>Realizado</t>
        </is>
      </c>
      <c r="C43" s="1" t="inlineStr">
        <is>
          <t>Meta</t>
        </is>
      </c>
      <c r="D43" s="1" t="inlineStr">
        <is>
          <t>Comparação</t>
        </is>
      </c>
      <c r="E43" s="1" t="inlineStr">
        <is>
          <t>Status</t>
        </is>
      </c>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row>
    <row r="44" ht="30" customHeight="1">
      <c r="A44" s="1" t="inlineStr">
        <is>
          <t>kcal</t>
        </is>
      </c>
      <c r="B44" s="14">
        <f>IF(COUNTIF('Alimentação'!$A:$A,$B$5)=0,"",SUMIFS('Alimentação'!$F:$F,'Alimentação'!$A:$A,$B$5))</f>
        <v/>
      </c>
      <c r="C44" s="14">
        <f>IF(COUNTIFS('Diário'!$A:$A,$B$5,'Diário'!$M:$M,"&gt;0")=0,"",SUMIFS('Diário'!$M:$M,'Diário'!$A:$A,$B$5))</f>
        <v/>
      </c>
      <c r="D44" s="4">
        <f>IF(NOT(ISNUMBER(B44)),"Sem registro",TEXT(B44,"0")&amp;" / "&amp;IF(ISNUMBER(C44),TEXT(C44,"0"),"meta pendente"))</f>
        <v/>
      </c>
      <c r="E44" s="1">
        <f>IF(COUNTIF('Alimentação'!$A$6:$A1000,$B$5)=0,"Sem registro",IF(COUNTIFS('Diário'!$A$6:$A1000,$B$5,'Diário'!$G$6:$G1000,"Sim")=0,"Parcial — em andamento",IF(SUMIFS('Diário'!$AG$6:$AG1000,'Diário'!$A$6:$A1000,$B$5)&gt;0,"Completo — cálculo parcial",IF(OR(NOT(ISNUMBER(B44)),NOT(ISNUMBER(C44))),"Pendente",IF(ABS(B44/C44-1)&lt;=SUMIFS('Diário'!$T:$T,'Diário'!$A:$A,$B$5),"Na faixa",IF(ABS(B44/C44-1)&lt;=0.2,"Próximo","Distante"))))))</f>
        <v/>
      </c>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row>
    <row r="45" ht="30" customHeight="1">
      <c r="A45" s="1" t="inlineStr">
        <is>
          <t>Proteína g</t>
        </is>
      </c>
      <c r="B45" s="14">
        <f>IF(COUNTIF('Alimentação'!$A:$A,$B$5)=0,"",SUMIFS('Alimentação'!$G:$G,'Alimentação'!$A:$A,$B$5))</f>
        <v/>
      </c>
      <c r="C45" s="14">
        <f>IF(COUNTIFS('Diário'!$A:$A,$B$5,'Diário'!$N:$N,"&gt;0")=0,"",SUMIFS('Diário'!$N:$N,'Diário'!$A:$A,$B$5))</f>
        <v/>
      </c>
      <c r="D45" s="4">
        <f>IF(NOT(ISNUMBER(B45)),"Sem registro",TEXT(B45,"0")&amp;" / "&amp;IF(ISNUMBER(C45),TEXT(C45,"0"),"meta pendente"))</f>
        <v/>
      </c>
      <c r="E45" s="1">
        <f>IF(COUNTIF('Alimentação'!$A$6:$A1000,$B$5)=0,"Sem registro",IF(COUNTIFS('Diário'!$A$6:$A1000,$B$5,'Diário'!$G$6:$G1000,"Sim")=0,"Parcial — em andamento",IF(SUMIFS('Diário'!$AG$6:$AG1000,'Diário'!$A$6:$A1000,$B$5)&gt;0,"Completo — cálculo parcial",IF(OR(NOT(ISNUMBER(B45)),NOT(ISNUMBER(C45))),"Pendente",IF(AND(B45&gt;=SUMIFS('Diário'!$R:$R,'Diário'!$A:$A,$B$5),B45&lt;=SUMIFS('Diário'!$S:$S,'Diário'!$A:$A,$B$5)),"Na faixa",IF(ABS(B45/C45-1)&lt;=0.2,"Próximo","Distante"))))))</f>
        <v/>
      </c>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row>
    <row r="46" ht="30" customHeight="1">
      <c r="A46" s="1" t="inlineStr">
        <is>
          <t>Gordura g</t>
        </is>
      </c>
      <c r="B46" s="14">
        <f>IF(COUNTIF('Alimentação'!$A:$A,$B$5)=0,"",SUMIFS('Alimentação'!$I:$I,'Alimentação'!$A:$A,$B$5))</f>
        <v/>
      </c>
      <c r="C46" s="14">
        <f>IF(COUNTIFS('Diário'!$A:$A,$B$5,'Diário'!$O:$O,"&gt;0")=0,"",SUMIFS('Diário'!$O:$O,'Diário'!$A:$A,$B$5))</f>
        <v/>
      </c>
      <c r="D46" s="4">
        <f>IF(NOT(ISNUMBER(B46)),"Sem registro",TEXT(B46,"0")&amp;" / "&amp;IF(ISNUMBER(C46),TEXT(C46,"0"),"meta pendente"))</f>
        <v/>
      </c>
      <c r="E46" s="1">
        <f>IF(COUNTIF('Alimentação'!$A$6:$A1000,$B$5)=0,"Sem registro",IF(COUNTIFS('Diário'!$A$6:$A1000,$B$5,'Diário'!$G$6:$G1000,"Sim")=0,"Parcial — em andamento",IF(SUMIFS('Diário'!$AG$6:$AG1000,'Diário'!$A$6:$A1000,$B$5)&gt;0,"Completo — cálculo parcial",IF(OR(NOT(ISNUMBER(B46)),NOT(ISNUMBER(C46))),"Pendente",IF(ABS(B46/C46-1)&lt;=SUMIFS('Diário'!$U:$U,'Diário'!$A:$A,$B$5),"Na faixa",IF(ABS(B46/C46-1)&lt;=0.2,"Próximo","Distante"))))))</f>
        <v/>
      </c>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row>
    <row r="47" ht="22.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row>
    <row r="48" ht="22.5" customHeight="1">
      <c r="A48" s="1" t="inlineStr">
        <is>
          <t>Configuração e revisões</t>
        </is>
      </c>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row>
    <row r="49" ht="22.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row>
    <row r="50" ht="22.5" customHeight="1">
      <c r="A50" s="1" t="inlineStr">
        <is>
          <t>Upper → Lower → Full Body. Organize os dias junto ao Muay Thai.</t>
        </is>
      </c>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row>
    <row r="51" ht="22.5" customHeight="1">
      <c r="A51" s="1" t="inlineStr">
        <is>
          <t>Menu Projeto: carregar → registrar → salvar parcial ou concluir. Retome registros sem preencher dias atrasados.</t>
        </is>
      </c>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row>
    <row r="52" ht="22.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row>
    <row r="53" ht="22.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row>
    <row r="54" ht="22.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row>
    <row r="55" ht="22.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row>
    <row r="56" ht="22.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row>
    <row r="57" ht="22.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row>
    <row r="58" ht="22.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row>
    <row r="59" ht="22.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row>
    <row r="60" ht="22.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row>
    <row r="61" ht="22.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row>
    <row r="62" ht="22.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row>
    <row r="63" ht="22.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row>
    <row r="64" ht="22.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row>
    <row r="65" ht="22.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row>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7">
    <mergeCell ref="B16:C16"/>
    <mergeCell ref="H16:I16"/>
    <mergeCell ref="E11:L11"/>
    <mergeCell ref="B14:C14"/>
    <mergeCell ref="H14:I14"/>
    <mergeCell ref="E5:L5"/>
    <mergeCell ref="E18:F18"/>
  </mergeCells>
  <conditionalFormatting sqref="D44:E46">
    <cfRule type="expression" priority="1" dxfId="0">
      <formula>$E44="Na faixa"</formula>
    </cfRule>
    <cfRule type="expression" priority="2" dxfId="1">
      <formula>$E44="Próximo"</formula>
    </cfRule>
    <cfRule type="expression" priority="3" dxfId="2">
      <formula>$E44="Distante"</formula>
    </cfRule>
  </conditionalFormatting>
  <dataValidations count="21">
    <dataValidation sqref="B4" showDropDown="0" showInputMessage="1" showErrorMessage="1" allowBlank="1" prompt="Ação rápida, inclusive no celular." type="list">
      <formula1>"—,Salvar dia,Carregar dia,Lançar alimento,Sem cálculo,Carregar treino,Salvar parcial,Concluir treino,Atualizar painel"</formula1>
    </dataValidation>
    <dataValidation sqref="B7" showDropDown="0" showInputMessage="0" showErrorMessage="0" allowBlank="1" type="decimal" operator="between">
      <formula1>25</formula1>
      <formula2>300</formula2>
    </dataValidation>
    <dataValidation sqref="E7" showDropDown="0" showInputMessage="0" showErrorMessage="0" allowBlank="1" type="decimal" operator="between">
      <formula1>0</formula1>
      <formula2>24</formula2>
    </dataValidation>
    <dataValidation sqref="H7" showDropDown="0" showInputMessage="0" showErrorMessage="0" allowBlank="1" type="decimal" operator="between">
      <formula1>0</formula1>
      <formula2>100000</formula2>
    </dataValidation>
    <dataValidation sqref="K7" showDropDown="0" showInputMessage="0" showErrorMessage="0" allowBlank="1" type="decimal" operator="between">
      <formula1>0</formula1>
      <formula2>600</formula2>
    </dataValidation>
    <dataValidation sqref="B9 E9" showDropDown="0" showInputMessage="0" showErrorMessage="0" allowBlank="1" type="list">
      <formula1>"Sim,Não"</formula1>
    </dataValidation>
    <dataValidation sqref="H9" showDropDown="0" showInputMessage="0" showErrorMessage="0" allowBlank="1" type="decimal" operator="between">
      <formula1>30</formula1>
      <formula2>250</formula2>
    </dataValidation>
    <dataValidation sqref="B11 K9" showDropDown="0" showInputMessage="0" showErrorMessage="0" allowBlank="1" type="decimal" operator="between">
      <formula1>1</formula1>
      <formula2>5</formula2>
    </dataValidation>
    <dataValidation sqref="B14" showDropDown="0" showInputMessage="1" showErrorMessage="1" allowBlank="1" prompt="Favoritas criadas por você." type="list">
      <formula1>Favoritas!$A$6:$A$1000</formula1>
    </dataValidation>
    <dataValidation sqref="E14" showDropDown="0" showInputMessage="0" showErrorMessage="0" allowBlank="1" type="decimal" operator="between">
      <formula1>0.01</formula1>
      <formula2>20</formula2>
    </dataValidation>
    <dataValidation sqref="H14" showDropDown="0" showInputMessage="1" showErrorMessage="1" allowBlank="1" prompt="Refeição." type="list">
      <formula1>"Café da manhã,Lanche,Almoço,Jantar,Pré-treino,Pós-treino,Ceia"</formula1>
    </dataValidation>
    <dataValidation sqref="B16" showDropDown="0" showInputMessage="1" showErrorMessage="1" allowBlank="1" prompt="Escolha um alimento do cadastro." type="list">
      <formula1>Alimentos!$A$6:$A$1000</formula1>
    </dataValidation>
    <dataValidation sqref="E16" showDropDown="0" showInputMessage="0" showErrorMessage="0" allowBlank="1" type="decimal" operator="between">
      <formula1>0</formula1>
      <formula2>10000</formula2>
    </dataValidation>
    <dataValidation sqref="H16" showDropDown="0" showInputMessage="0" showErrorMessage="0" allowBlank="1" type="list">
      <formula1>"Pesada,Rótulo,Estimada"</formula1>
    </dataValidation>
    <dataValidation sqref="K16" showDropDown="0" showInputMessage="1" showErrorMessage="1" allowBlank="1" prompt="Unidades práticas exigem conversão cadastrada." type="list">
      <formula1>"g,mg,kg,ml,l,un,fatia,porção"</formula1>
    </dataValidation>
    <dataValidation sqref="E18" showDropDown="0" showInputMessage="1" showErrorMessage="1" allowBlank="1" prompt="Refeição a copiar." type="list">
      <formula1>"Todas,Café da manhã,Lanche,Almoço,Jantar,Pré-treino,Pós-treino,Ceia"</formula1>
    </dataValidation>
    <dataValidation sqref="B23" showDropDown="0" showInputMessage="1" showErrorMessage="1" allowBlank="1" prompt="Escolha a sessão." type="list">
      <formula1>"Upper,Lower,Full Body"</formula1>
    </dataValidation>
    <dataValidation sqref="E23" showDropDown="0" showInputMessage="1" showErrorMessage="1" allowBlank="1" prompt="Fase atual." type="list">
      <formula1>"Adaptação,Regular"</formula1>
    </dataValidation>
    <dataValidation sqref="A27:A38" showDropDown="0" showInputMessage="0" showErrorMessage="0" allowBlank="1" type="list">
      <formula1>ListaExercicios</formula1>
    </dataValidation>
    <dataValidation sqref="B27:I38" showDropDown="0" showInputMessage="0" showErrorMessage="0" allowBlank="1" type="decimal" operator="between">
      <formula1>0</formula1>
      <formula2>1500</formula2>
    </dataValidation>
    <dataValidation sqref="J27:K38" showDropDown="0" showInputMessage="0" showErrorMessage="0" allowBlank="1" type="decimal" operator="between">
      <formula1>0</formula1>
      <formula2>10</formula2>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FF4C356B"/>
    <outlinePr summaryBelow="1" summaryRight="1"/>
    <pageSetUpPr/>
  </sheetPr>
  <dimension ref="A1:Z65"/>
  <sheetViews>
    <sheetView showGridLines="0" workbookViewId="0">
      <pane ySplit="5" topLeftCell="A6" activePane="bottomLeft" state="frozen"/>
      <selection pane="bottomLeft" activeCell="A1" sqref="A1"/>
    </sheetView>
  </sheetViews>
  <sheetFormatPr baseColWidth="8" defaultRowHeight="15"/>
  <cols>
    <col width="32.96" customWidth="1" min="1" max="1"/>
    <col width="24" customWidth="1" min="2" max="2"/>
    <col width="47.99" customWidth="1" min="3" max="3"/>
    <col width="16.04" customWidth="1" min="4" max="4"/>
    <col width="16.04" customWidth="1" min="5" max="5"/>
    <col width="16.04" customWidth="1" min="6" max="6"/>
    <col width="16.04" customWidth="1" min="7" max="7"/>
    <col width="16.04" customWidth="1" min="8" max="8"/>
    <col width="16.04" customWidth="1" min="9" max="9"/>
    <col width="16.04" customWidth="1" min="10" max="10"/>
    <col width="16.04" customWidth="1" min="11" max="11"/>
    <col width="16.04" customWidth="1" min="12" max="12"/>
    <col width="8.59" customWidth="1" min="13" max="13"/>
    <col width="8.59" customWidth="1" min="14" max="14"/>
    <col width="8.59"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s>
  <sheetData>
    <row r="1" ht="22.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2.5" customHeight="1">
      <c r="A2" s="2" t="inlineStr">
        <is>
          <t>Projeto Breno: decisões da semana</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22.5" customHeight="1">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22.5" customHeight="1">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22.5" customHeight="1">
      <c r="A5" s="1" t="inlineStr">
        <is>
          <t>Semana iniciada em</t>
        </is>
      </c>
      <c r="B5" s="15"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22.5" customHeight="1">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22.5" customHeight="1">
      <c r="A7" s="1" t="inlineStr">
        <is>
          <t>Peso médio kg</t>
        </is>
      </c>
      <c r="B7" s="14"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22.5" customHeight="1">
      <c r="A8" s="1" t="inlineStr">
        <is>
          <t>Mudança vs semana anterior kg</t>
        </is>
      </c>
      <c r="B8" s="14"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22.5" customHeight="1">
      <c r="A9" s="1" t="inlineStr">
        <is>
          <t>Cintura cm</t>
        </is>
      </c>
      <c r="B9" s="14"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22.5" customHeight="1">
      <c r="A10" s="1" t="inlineStr">
        <is>
          <t>kcal — dias completos</t>
        </is>
      </c>
      <c r="B10" s="14"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22.5" customHeight="1">
      <c r="A11" s="1" t="inlineStr">
        <is>
          <t>Proteína média g</t>
        </is>
      </c>
      <c r="B11" s="14"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22.5" customHeight="1">
      <c r="A12" s="1" t="inlineStr">
        <is>
          <t>Gordura média g</t>
        </is>
      </c>
      <c r="B12" s="14"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22.5" customHeight="1">
      <c r="A13" s="1" t="inlineStr">
        <is>
          <t>Dias completos com cálculo</t>
        </is>
      </c>
      <c r="B13" s="14"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22.5" customHeight="1">
      <c r="A14" s="1" t="inlineStr">
        <is>
          <t>Aderência calórica</t>
        </is>
      </c>
      <c r="B14" s="16"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22.5" customHeight="1">
      <c r="A15" s="1" t="inlineStr">
        <is>
          <t>Aderência proteína</t>
        </is>
      </c>
      <c r="B15" s="16"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22.5" customHeight="1">
      <c r="A16" s="1" t="inlineStr">
        <is>
          <t>Treinos realizados</t>
        </is>
      </c>
      <c r="B16" s="14"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22.5" customHeight="1">
      <c r="A17" s="1" t="inlineStr">
        <is>
          <t>Meta semanal de treinos</t>
        </is>
      </c>
      <c r="B17" s="14"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22.5" customHeight="1">
      <c r="A18" s="1" t="inlineStr">
        <is>
          <t>Passos médios</t>
        </is>
      </c>
      <c r="B18" s="14"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22.5" customHeight="1">
      <c r="A19" s="1" t="inlineStr">
        <is>
          <t>Cardio min</t>
        </is>
      </c>
      <c r="B19" s="14"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22.5" customHeight="1">
      <c r="A20" s="1" t="inlineStr">
        <is>
          <t>Sono médio h</t>
        </is>
      </c>
      <c r="B20" s="14"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22.5" customHeight="1">
      <c r="A21" s="1" t="inlineStr">
        <is>
          <t>Muay Thai</t>
        </is>
      </c>
      <c r="B21" s="14"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22.5" customHeight="1">
      <c r="A22" s="1" t="inlineStr">
        <is>
          <t>Cobertura de pesagens</t>
        </is>
      </c>
      <c r="B22" s="14"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22.5" customHeight="1">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22.5" customHeight="1">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2.5" customHeight="1">
      <c r="A25" s="1" t="inlineStr">
        <is>
          <t>Leitura para revisão</t>
        </is>
      </c>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22.5" customHeight="1">
      <c r="A26" s="1" t="n"/>
      <c r="B26" s="4" t="n"/>
      <c r="C26" s="4" t="n"/>
      <c r="D26" s="4"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22.5" customHeight="1">
      <c r="A27" s="1" t="n"/>
      <c r="B27" s="4" t="n"/>
      <c r="C27" s="4" t="n"/>
      <c r="D27" s="4"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22.5" customHeight="1">
      <c r="A28" s="1" t="inlineStr">
        <is>
          <t>Semana parcial</t>
        </is>
      </c>
      <c r="B28" s="4" t="n"/>
      <c r="C28" s="4" t="n"/>
      <c r="D28" s="4"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22.5" customHeight="1">
      <c r="A29" s="1" t="n"/>
      <c r="B29" s="4" t="n"/>
      <c r="C29" s="4" t="n"/>
      <c r="D29" s="4"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22.5" customHeight="1">
      <c r="A30" s="1" t="inlineStr">
        <is>
          <t>Metas históricas</t>
        </is>
      </c>
      <c r="B30" s="4" t="inlineStr">
        <is>
          <t>Aderência usa a meta gravada em cada dia.</t>
        </is>
      </c>
      <c r="C30" s="4" t="n"/>
      <c r="D30" s="4"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22.5" customHeight="1">
      <c r="A31" s="1" t="n"/>
      <c r="B31" s="4" t="n"/>
      <c r="C31" s="4" t="n"/>
      <c r="D31" s="4"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22.5" customHeight="1">
      <c r="A32" s="1" t="inlineStr">
        <is>
          <t>Faixas usadas</t>
        </is>
      </c>
      <c r="B32" s="4" t="inlineStr">
        <is>
          <t>kcal ±5%; gordura ±15%; proteína pela faixa individual.</t>
        </is>
      </c>
      <c r="C32" s="4" t="n"/>
      <c r="D32" s="4"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22.5" customHeight="1">
      <c r="A33" s="1" t="n"/>
      <c r="B33" s="4" t="n"/>
      <c r="C33" s="4" t="n"/>
      <c r="D33" s="4"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22.5" customHeight="1">
      <c r="A34" s="1" t="inlineStr">
        <is>
          <t>Próxima ação</t>
        </is>
      </c>
      <c r="B34" s="4" t="inlineStr">
        <is>
          <t>Revisar tolerância à musculação junto do Muay Thai.</t>
        </is>
      </c>
      <c r="C34" s="4" t="n"/>
      <c r="D34" s="4"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22.5" customHeight="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22.5" customHeight="1">
      <c r="A36" s="1" t="inlineStr">
        <is>
          <t>Cobertura alimentar</t>
        </is>
      </c>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22.5"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22.5" customHeight="1">
      <c r="A38" s="1" t="inlineStr">
        <is>
          <t>Itens sem cálculo</t>
        </is>
      </c>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22.5" customHeight="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22.5" customHeight="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22.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22.5" customHeight="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22.5" customHeight="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22.5" customHeight="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22.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22.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22.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22.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22.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22.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22.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22.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22.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22.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22.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22.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22.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22.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22.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22.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22.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22.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22.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22.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22.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dataValidations count="1">
    <dataValidation sqref="B6" showDropDown="0" showInputMessage="0" showErrorMessage="0" allowBlank="1" type="decimal" operator="between">
      <formula1>1</formula1>
      <formula2>16</formula2>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G65"/>
  <sheetViews>
    <sheetView showGridLines="0" workbookViewId="0">
      <pane ySplit="9" topLeftCell="A10" activePane="bottomLeft" state="frozen"/>
      <selection pane="bottomLeft" activeCell="A1" sqref="A1"/>
    </sheetView>
  </sheetViews>
  <sheetFormatPr baseColWidth="8" defaultRowHeight="15"/>
  <cols>
    <col width="16.04" customWidth="1" min="1" max="1"/>
    <col width="18.06" customWidth="1" min="2" max="2"/>
    <col width="34.99" customWidth="1" min="3" max="3"/>
    <col width="15.03" customWidth="1" min="4" max="4"/>
    <col width="15.03" customWidth="1" min="5" max="5"/>
    <col width="15.03" customWidth="1" min="6" max="6"/>
    <col width="15.03" customWidth="1" min="7" max="7"/>
    <col width="15.03" customWidth="1" min="8" max="8"/>
    <col width="15.03" customWidth="1" min="9" max="9"/>
    <col width="15.03" customWidth="1" min="10" max="10"/>
    <col width="15.03" customWidth="1" min="11" max="11"/>
    <col width="21.98" customWidth="1" min="12" max="12"/>
    <col width="15.03" customWidth="1" min="13" max="13"/>
    <col width="15.03" customWidth="1" min="14" max="14"/>
    <col width="8.59"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 width="8.59" customWidth="1" min="27" max="27"/>
    <col width="8.59" customWidth="1" min="28" max="28"/>
    <col width="8.59" customWidth="1" min="29" max="29"/>
    <col width="8.59" customWidth="1" min="30" max="30"/>
    <col width="8.59" customWidth="1" min="31" max="31"/>
    <col width="8.59" customWidth="1" min="32" max="32"/>
    <col width="8.59" customWidth="1" min="33" max="33"/>
  </cols>
  <sheetData>
    <row r="1" ht="22.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row>
    <row r="2" ht="22.5" customHeight="1">
      <c r="A2" s="2" t="inlineStr">
        <is>
          <t>Progressão por exercício</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row>
    <row r="3" ht="22.5" customHeight="1">
      <c r="A3" s="1" t="inlineStr">
        <is>
          <t>Gerado pelo script a partir do Registro de treino. Só work sets contam.</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row>
    <row r="4" ht="22.5" customHeight="1">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row>
    <row r="5" ht="22.5" customHeight="1">
      <c r="A5" s="1" t="inlineStr">
        <is>
          <t>Exercício</t>
        </is>
      </c>
      <c r="B5" s="5" t="inlineStr">
        <is>
          <t>Grupo</t>
        </is>
      </c>
      <c r="E5" s="1" t="inlineStr">
        <is>
          <t>Último work</t>
        </is>
      </c>
      <c r="F5" s="1" t="inlineStr">
        <is>
          <t>RIR</t>
        </is>
      </c>
      <c r="G5" s="1" t="inlineStr">
        <is>
          <t>Tendência</t>
        </is>
      </c>
      <c r="H5" s="1" t="inlineStr">
        <is>
          <t>Sugestão</t>
        </is>
      </c>
      <c r="I5" s="1" t="inlineStr">
        <is>
          <t>Ficha</t>
        </is>
      </c>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row>
    <row r="6" ht="22.5" customHeight="1">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c r="AA6" s="1" t="n"/>
      <c r="AB6" s="1" t="n"/>
      <c r="AC6" s="1" t="n"/>
      <c r="AD6" s="1" t="n"/>
      <c r="AE6" s="1" t="n"/>
      <c r="AF6" s="1" t="n"/>
      <c r="AG6" s="1" t="n"/>
    </row>
    <row r="7" ht="22.5" customHeight="1">
      <c r="A7" s="1" t="n"/>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c r="AD7" s="1" t="n"/>
      <c r="AE7" s="1" t="n"/>
      <c r="AF7" s="1" t="n"/>
      <c r="AG7" s="1" t="n"/>
    </row>
    <row r="8" ht="22.5" customHeight="1">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c r="AD8" s="1" t="n"/>
      <c r="AE8" s="1" t="n"/>
      <c r="AF8" s="1" t="n"/>
      <c r="AG8" s="1" t="n"/>
    </row>
    <row r="9" ht="30" customHeight="1">
      <c r="A9" s="17" t="n"/>
      <c r="B9" s="17" t="n"/>
      <c r="C9" s="17" t="n"/>
      <c r="D9" s="17" t="n"/>
      <c r="E9" s="17" t="n"/>
      <c r="F9" s="17" t="n"/>
      <c r="G9" s="17" t="n"/>
      <c r="H9" s="17" t="n"/>
      <c r="I9" s="17" t="n"/>
      <c r="J9" s="17" t="n"/>
      <c r="K9" s="17" t="n"/>
      <c r="L9" s="17" t="n"/>
      <c r="M9" s="17" t="n"/>
      <c r="N9" s="17" t="n"/>
      <c r="O9" s="1" t="n"/>
      <c r="P9" s="1" t="n"/>
      <c r="Q9" s="1" t="n"/>
      <c r="R9" s="1" t="n"/>
      <c r="S9" s="1" t="n"/>
      <c r="T9" s="1" t="n"/>
      <c r="U9" s="1" t="n"/>
      <c r="V9" s="1" t="n"/>
      <c r="W9" s="1" t="n"/>
      <c r="X9" s="1" t="n"/>
      <c r="Y9" s="1" t="n"/>
      <c r="Z9" s="1" t="n"/>
      <c r="AA9" s="1" t="n"/>
      <c r="AB9" s="1" t="n"/>
      <c r="AC9" s="1" t="n"/>
      <c r="AD9" s="1" t="n"/>
      <c r="AE9" s="1" t="n"/>
      <c r="AF9" s="1" t="n"/>
      <c r="AG9" s="1" t="n"/>
    </row>
    <row r="10" ht="22.5" customHeight="1">
      <c r="A10" s="15"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c r="AD10" s="1" t="n"/>
      <c r="AE10" s="1" t="n"/>
      <c r="AF10" s="1" t="n"/>
      <c r="AG10" s="1" t="n"/>
    </row>
    <row r="11" ht="22.5" customHeight="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row>
    <row r="12" ht="22.5" customHeight="1">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c r="AF12" s="1" t="n"/>
      <c r="AG12" s="1" t="n"/>
    </row>
    <row r="13" ht="22.5" customHeight="1">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c r="AE13" s="1" t="n"/>
      <c r="AF13" s="1" t="n"/>
      <c r="AG13" s="1" t="n"/>
    </row>
    <row r="14" ht="22.5" customHeight="1">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c r="AE14" s="1" t="n"/>
      <c r="AF14" s="1" t="n"/>
      <c r="AG14" s="1" t="n"/>
    </row>
    <row r="15" ht="22.5" customHeight="1">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c r="AD15" s="1" t="n"/>
      <c r="AE15" s="1" t="n"/>
      <c r="AF15" s="1" t="n"/>
      <c r="AG15" s="1" t="n"/>
    </row>
    <row r="16" ht="22.5" customHeight="1">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c r="AD16" s="1" t="n"/>
      <c r="AE16" s="1" t="n"/>
      <c r="AF16" s="1" t="n"/>
      <c r="AG16" s="1" t="n"/>
    </row>
    <row r="17" ht="22.5" customHeight="1">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c r="AD17" s="1" t="n"/>
      <c r="AE17" s="1" t="n"/>
      <c r="AF17" s="1" t="n"/>
      <c r="AG17" s="1" t="n"/>
    </row>
    <row r="18" ht="22.5" customHeight="1">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c r="AE18" s="1" t="n"/>
      <c r="AF18" s="1" t="n"/>
      <c r="AG18" s="1" t="n"/>
    </row>
    <row r="19" ht="22.5" customHeight="1">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c r="AE19" s="1" t="n"/>
      <c r="AF19" s="1" t="n"/>
      <c r="AG19" s="1" t="n"/>
    </row>
    <row r="20" ht="22.5" customHeight="1">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c r="AD20" s="1" t="n"/>
      <c r="AE20" s="1" t="n"/>
      <c r="AF20" s="1" t="n"/>
      <c r="AG20" s="1" t="n"/>
    </row>
    <row r="21" ht="22.5" customHeight="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c r="AF21" s="1" t="n"/>
      <c r="AG21" s="1" t="n"/>
    </row>
    <row r="22" ht="22.5" customHeight="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c r="AD22" s="1" t="n"/>
      <c r="AE22" s="1" t="n"/>
      <c r="AF22" s="1" t="n"/>
      <c r="AG22" s="1" t="n"/>
    </row>
    <row r="23" ht="22.5" customHeight="1">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c r="AF23" s="1" t="n"/>
      <c r="AG23" s="1" t="n"/>
    </row>
    <row r="24" ht="22.5" customHeight="1">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c r="AG24" s="1" t="n"/>
    </row>
    <row r="25" ht="22.5" customHeight="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row>
    <row r="26" ht="22.5" customHeight="1">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row>
    <row r="27" ht="22.5" customHeight="1">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row>
    <row r="28" ht="22.5" customHeight="1">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row>
    <row r="29" ht="22.5" customHeight="1">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row>
    <row r="30" ht="22.5" customHeight="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row>
    <row r="31" ht="22.5" customHeight="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row>
    <row r="32" ht="22.5" customHeight="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row>
    <row r="33" ht="22.5" customHeight="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row>
    <row r="34" ht="22.5" customHeight="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row>
    <row r="35" ht="22.5" customHeight="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row>
    <row r="36" ht="22.5" customHeight="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row>
    <row r="37" ht="22.5"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row>
    <row r="38" ht="22.5" customHeight="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row>
    <row r="39" ht="22.5" customHeight="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row>
    <row r="40" ht="22.5" customHeight="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row>
    <row r="41" ht="22.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row>
    <row r="42" ht="22.5" customHeight="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row>
    <row r="43" ht="22.5" customHeight="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row>
    <row r="44" ht="22.5" customHeight="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row>
    <row r="45" ht="22.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row>
    <row r="46" ht="22.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row>
    <row r="47" ht="22.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row>
    <row r="48" ht="22.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row>
    <row r="49" ht="22.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row>
    <row r="50" ht="22.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row>
    <row r="51" ht="22.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row>
    <row r="52" ht="22.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row>
    <row r="53" ht="22.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row>
    <row r="54" ht="22.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row>
    <row r="55" ht="22.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row>
    <row r="56" ht="22.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row>
    <row r="57" ht="22.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row>
    <row r="58" ht="22.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row>
    <row r="59" ht="22.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row>
    <row r="60" ht="22.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row>
    <row r="61" ht="22.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row>
    <row r="62" ht="22.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row>
    <row r="63" ht="22.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row>
    <row r="64" ht="22.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row>
    <row r="65" ht="22.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row>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
    <mergeCell ref="B5:D5"/>
  </mergeCells>
  <dataValidations count="1">
    <dataValidation sqref="B5" showDropDown="0" showInputMessage="1" showErrorMessage="1" allowBlank="1" prompt="Escolha um exercício cadastrado." type="list">
      <formula1>'Exercícios'!$A$6:$A$1000</formula1>
    </dataValidation>
  </dataValidations>
  <pageMargins left="0.75" right="0.75" top="1" bottom="1" header="0.5" footer="0.5"/>
</worksheet>
</file>

<file path=xl/worksheets/sheet4.xml><?xml version="1.0" encoding="utf-8"?>
<worksheet xmlns="http://schemas.openxmlformats.org/spreadsheetml/2006/main">
  <sheetPr>
    <tabColor rgb="FF4C356B"/>
    <outlinePr summaryBelow="1" summaryRight="1"/>
    <pageSetUpPr/>
  </sheetPr>
  <dimension ref="A1:E43"/>
  <sheetViews>
    <sheetView showGridLines="0" workbookViewId="0">
      <pane ySplit="5" topLeftCell="A6" activePane="bottomLeft" state="frozen"/>
      <selection pane="bottomLeft" activeCell="A1" sqref="A1"/>
    </sheetView>
  </sheetViews>
  <sheetFormatPr baseColWidth="8" defaultRowHeight="15"/>
  <cols>
    <col width="29.05" customWidth="1" min="1" max="1"/>
    <col width="24" customWidth="1" min="2" max="2"/>
    <col width="25.01" customWidth="1" min="3" max="3"/>
    <col width="82.98" customWidth="1" min="4" max="4"/>
    <col width="8.59" customWidth="1" min="5" max="5"/>
    <col width="8.59" customWidth="1" min="6" max="6"/>
    <col width="8.59" customWidth="1" min="7" max="7"/>
    <col width="8.59" customWidth="1" min="8" max="8"/>
    <col width="8.59" customWidth="1" min="9" max="9"/>
    <col width="8.59" customWidth="1" min="10" max="10"/>
    <col width="8.59" customWidth="1" min="11" max="11"/>
    <col width="8.59" customWidth="1" min="12" max="12"/>
    <col width="8.59" customWidth="1" min="13" max="13"/>
    <col width="8.59" customWidth="1" min="14" max="14"/>
    <col width="8.59"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s>
  <sheetData>
    <row r="1" ht="21.75" customHeight="1">
      <c r="A1" s="18" t="n"/>
      <c r="B1" s="18" t="n"/>
      <c r="C1" s="18" t="n"/>
      <c r="D1" s="18" t="n"/>
    </row>
    <row r="2" ht="21.75" customHeight="1">
      <c r="A2" s="19" t="inlineStr">
        <is>
          <t>Configuração</t>
        </is>
      </c>
      <c r="B2" s="18" t="n"/>
      <c r="C2" s="18" t="n"/>
      <c r="D2" s="18" t="n"/>
    </row>
    <row r="3" ht="21.75" customHeight="1">
      <c r="A3" s="20" t="inlineStr">
        <is>
          <t>Perfil, rotina e limites da análise. Edite só a coluna Valor. Objetivo, meta e ficha atuais vêm das abas de histórico.</t>
        </is>
      </c>
      <c r="B3" s="18" t="n"/>
      <c r="C3" s="18" t="n"/>
      <c r="D3" s="18" t="n"/>
    </row>
    <row r="4" ht="21.75" customHeight="1">
      <c r="A4" s="18" t="n"/>
      <c r="B4" s="18" t="n"/>
      <c r="C4" s="18" t="n"/>
      <c r="D4" s="18" t="n"/>
    </row>
    <row r="5" ht="37.5" customHeight="1">
      <c r="A5" s="21" t="inlineStr">
        <is>
          <t>Chave</t>
        </is>
      </c>
      <c r="B5" s="21" t="inlineStr">
        <is>
          <t>Parâmetro</t>
        </is>
      </c>
      <c r="C5" s="21" t="inlineStr">
        <is>
          <t>Valor</t>
        </is>
      </c>
      <c r="D5" s="21" t="inlineStr">
        <is>
          <t>Unidade</t>
        </is>
      </c>
      <c r="E5" t="inlineStr">
        <is>
          <t>Descrição</t>
        </is>
      </c>
    </row>
    <row r="6" ht="21.75" customHeight="1">
      <c r="A6" s="18" t="n"/>
      <c r="B6" s="22" t="inlineStr">
        <is>
          <t>Perfil</t>
        </is>
      </c>
      <c r="C6" s="23" t="n"/>
      <c r="D6" s="23" t="n"/>
    </row>
    <row r="7" ht="21.75" customHeight="1">
      <c r="A7" s="18" t="inlineStr">
        <is>
          <t>client.name</t>
        </is>
      </c>
      <c r="B7" s="22" t="inlineStr">
        <is>
          <t>Nome</t>
        </is>
      </c>
      <c r="C7" s="23" t="inlineStr">
        <is>
          <t>Breno</t>
        </is>
      </c>
      <c r="D7" s="23" t="n"/>
      <c r="E7" t="inlineStr">
        <is>
          <t>Nome exibido nos títulos e no Painel.</t>
        </is>
      </c>
    </row>
    <row r="8" ht="21.75" customHeight="1">
      <c r="A8" s="18" t="inlineStr">
        <is>
          <t>client.sex</t>
        </is>
      </c>
      <c r="B8" s="24" t="inlineStr">
        <is>
          <t>Sexo (TMB)</t>
        </is>
      </c>
      <c r="C8" s="23" t="inlineStr">
        <is>
          <t>M</t>
        </is>
      </c>
      <c r="D8" s="23" t="inlineStr">
        <is>
          <t>M/F</t>
        </is>
      </c>
      <c r="E8" t="inlineStr">
        <is>
          <t>Usado só na equação de TMB (Mifflin-St Jeor).</t>
        </is>
      </c>
    </row>
    <row r="9" ht="21.75" customHeight="1">
      <c r="A9" s="18" t="inlineStr">
        <is>
          <t>client.birthDate</t>
        </is>
      </c>
      <c r="B9" s="24" t="inlineStr">
        <is>
          <t>Data de nascimento</t>
        </is>
      </c>
      <c r="C9" s="23" t="n"/>
      <c r="D9" s="23" t="inlineStr">
        <is>
          <t>data</t>
        </is>
      </c>
      <c r="E9" t="inlineStr">
        <is>
          <t>Se preenchida, a idade é calculada na data de cada meta.</t>
        </is>
      </c>
    </row>
    <row r="10" ht="21.75" customHeight="1">
      <c r="A10" s="18" t="inlineStr">
        <is>
          <t>client.age</t>
        </is>
      </c>
      <c r="B10" s="25" t="inlineStr">
        <is>
          <t>Idade</t>
        </is>
      </c>
      <c r="C10" s="23" t="n">
        <v>24</v>
      </c>
      <c r="D10" s="23" t="inlineStr">
        <is>
          <t>anos</t>
        </is>
      </c>
      <c r="E10" t="inlineStr">
        <is>
          <t>Usada quando a data de nascimento não foi informada.</t>
        </is>
      </c>
    </row>
    <row r="11" ht="21.75" customHeight="1">
      <c r="A11" s="18" t="inlineStr">
        <is>
          <t>client.heightCm</t>
        </is>
      </c>
      <c r="B11" s="22" t="inlineStr">
        <is>
          <t>Altura</t>
        </is>
      </c>
      <c r="C11" s="23" t="n">
        <v>179</v>
      </c>
      <c r="D11" s="23" t="inlineStr">
        <is>
          <t>cm</t>
        </is>
      </c>
      <c r="E11" t="inlineStr">
        <is>
          <t>Altura em centímetros.</t>
        </is>
      </c>
    </row>
    <row r="12" ht="21.75" customHeight="1">
      <c r="A12" s="18" t="inlineStr">
        <is>
          <t>client.startWeightKg</t>
        </is>
      </c>
      <c r="B12" s="22" t="inlineStr">
        <is>
          <t>Peso inicial</t>
        </is>
      </c>
      <c r="C12" s="23" t="n">
        <v>67</v>
      </c>
      <c r="D12" s="23" t="inlineStr">
        <is>
          <t>kg</t>
        </is>
      </c>
      <c r="E12" t="inlineStr">
        <is>
          <t>Peso no início do acompanhamento (referência, não medição datada).</t>
        </is>
      </c>
    </row>
    <row r="13" ht="21.75" customHeight="1">
      <c r="A13" s="18" t="inlineStr">
        <is>
          <t>client.startDate</t>
        </is>
      </c>
      <c r="B13" s="22" t="inlineStr">
        <is>
          <t>Início do acompanhamento</t>
        </is>
      </c>
      <c r="C13" s="26" t="n">
        <v>46286</v>
      </c>
      <c r="D13" s="23" t="inlineStr">
        <is>
          <t>data</t>
        </is>
      </c>
      <c r="E13" t="inlineStr">
        <is>
          <t>Data do primeiro registro.</t>
        </is>
      </c>
    </row>
    <row r="14" ht="21.75" customHeight="1">
      <c r="A14" s="18" t="inlineStr">
        <is>
          <t>client.reviewer</t>
        </is>
      </c>
      <c r="B14" s="22" t="inlineStr">
        <is>
          <t>Revisor</t>
        </is>
      </c>
      <c r="C14" s="23" t="inlineStr">
        <is>
          <t>Luan</t>
        </is>
      </c>
      <c r="D14" s="23" t="n"/>
      <c r="E14" t="inlineStr">
        <is>
          <t>Quem revisa metas, fichas e fases.</t>
        </is>
      </c>
    </row>
    <row r="15" ht="21.75" customHeight="1">
      <c r="A15" s="18" t="inlineStr">
        <is>
          <t>client.notes</t>
        </is>
      </c>
      <c r="B15" s="22" t="inlineStr">
        <is>
          <t>Observações do perfil</t>
        </is>
      </c>
      <c r="C15" s="23" t="inlineStr">
        <is>
          <t>Saúde: não informado (relato, não avaliação clínica). Tabagismo: não informado. Rotina: pouca caminhada. Creatina: uso não confirmado.</t>
        </is>
      </c>
      <c r="D15" s="23" t="n"/>
      <c r="E15" t="inlineStr">
        <is>
          <t>Saúde, suplementos, rotina e outros fatos relatados (não é avaliação clínica).</t>
        </is>
      </c>
    </row>
    <row r="16" ht="21.75" customHeight="1">
      <c r="A16" s="18" t="n"/>
      <c r="B16" s="22" t="inlineStr">
        <is>
          <t>Rotina</t>
        </is>
      </c>
      <c r="C16" s="23" t="n"/>
      <c r="D16" s="23" t="n"/>
    </row>
    <row r="17" ht="21.75" customHeight="1">
      <c r="A17" s="18" t="inlineStr">
        <is>
          <t>routine.strengthPerWeek</t>
        </is>
      </c>
      <c r="B17" s="22" t="inlineStr">
        <is>
          <t>Musculação</t>
        </is>
      </c>
      <c r="C17" s="23" t="n">
        <v>3</v>
      </c>
      <c r="D17" s="23" t="inlineStr">
        <is>
          <t>sessões/semana</t>
        </is>
      </c>
      <c r="E17" t="inlineStr">
        <is>
          <t>Treinos de musculação planejados por semana.</t>
        </is>
      </c>
    </row>
    <row r="18" ht="21.75" customHeight="1">
      <c r="A18" s="18" t="inlineStr">
        <is>
          <t>routine.cardioPerWeek</t>
        </is>
      </c>
      <c r="B18" s="22" t="inlineStr">
        <is>
          <t>Cardio</t>
        </is>
      </c>
      <c r="C18" s="23" t="n">
        <v>0</v>
      </c>
      <c r="D18" s="23" t="inlineStr">
        <is>
          <t>sessões/semana</t>
        </is>
      </c>
      <c r="E18" t="inlineStr">
        <is>
          <t>Sessões de cardio planejadas por semana.</t>
        </is>
      </c>
    </row>
    <row r="19" ht="21.75" customHeight="1">
      <c r="A19" s="18" t="inlineStr">
        <is>
          <t>routine.activities</t>
        </is>
      </c>
      <c r="B19" s="27" t="inlineStr">
        <is>
          <t>Atividades</t>
        </is>
      </c>
      <c r="C19" s="23" t="inlineStr">
        <is>
          <t>Muay Thai</t>
        </is>
      </c>
      <c r="D19" s="23" t="n"/>
      <c r="E19" t="inlineStr">
        <is>
          <t>Outras atividades (ex.: luta, corrida).</t>
        </is>
      </c>
    </row>
    <row r="20" ht="21.75" customHeight="1">
      <c r="A20" s="18" t="inlineStr">
        <is>
          <t>routine.activitiesPerWeek</t>
        </is>
      </c>
      <c r="B20" s="27" t="inlineStr">
        <is>
          <t>Atividades por semana</t>
        </is>
      </c>
      <c r="C20" s="23" t="n">
        <v>2</v>
      </c>
      <c r="D20" s="23" t="inlineStr">
        <is>
          <t>sessões/semana</t>
        </is>
      </c>
      <c r="E20" t="inlineStr">
        <is>
          <t>Sessões das outras atividades por semana.</t>
        </is>
      </c>
    </row>
    <row r="21" ht="21.75" customHeight="1">
      <c r="A21" s="18" t="inlineStr">
        <is>
          <t>routine.sessionRotation</t>
        </is>
      </c>
      <c r="B21" s="22" t="inlineStr">
        <is>
          <t>Rotação de sessões</t>
        </is>
      </c>
      <c r="C21" s="23" t="inlineStr">
        <is>
          <t>Upper, Lower, Full Body</t>
        </is>
      </c>
      <c r="D21" s="23" t="inlineStr">
        <is>
          <t>lista</t>
        </is>
      </c>
      <c r="E21" t="inlineStr">
        <is>
          <t>Sessões da ficha em ordem, separadas por vírgula.</t>
        </is>
      </c>
    </row>
    <row r="22" ht="21.75" customHeight="1">
      <c r="A22" s="18" t="inlineStr">
        <is>
          <t>routine.rotationMode</t>
        </is>
      </c>
      <c r="B22" s="25" t="inlineStr">
        <is>
          <t>Modo da rotação</t>
        </is>
      </c>
      <c r="C22" s="23" t="inlineStr">
        <is>
          <t>continuous</t>
        </is>
      </c>
      <c r="D22" s="23" t="n"/>
      <c r="E22" t="inlineStr">
        <is>
          <t>continuous = próxima sessão após a última concluída; weekly = recomeça toda semana.</t>
        </is>
      </c>
    </row>
    <row r="23" ht="21.75" customHeight="1">
      <c r="A23" s="18" t="n"/>
      <c r="B23" s="22" t="inlineStr">
        <is>
          <t>Energia</t>
        </is>
      </c>
      <c r="C23" s="23" t="n"/>
      <c r="D23" s="23" t="n"/>
    </row>
    <row r="24" ht="21.75" customHeight="1">
      <c r="A24" s="18" t="inlineStr">
        <is>
          <t>energy.bmrMethod</t>
        </is>
      </c>
      <c r="B24" s="22" t="inlineStr">
        <is>
          <t>Método da TMB</t>
        </is>
      </c>
      <c r="C24" s="23" t="inlineStr">
        <is>
          <t>mifflin</t>
        </is>
      </c>
      <c r="D24" s="23" t="n"/>
      <c r="E24" t="inlineStr">
        <is>
          <t>Equação usada para a taxa metabólica basal.</t>
        </is>
      </c>
    </row>
    <row r="25" ht="21.75" customHeight="1">
      <c r="A25" s="18" t="inlineStr">
        <is>
          <t>energy.activityFactor</t>
        </is>
      </c>
      <c r="B25" s="22" t="inlineStr">
        <is>
          <t>Fator de atividade</t>
        </is>
      </c>
      <c r="C25" s="23" t="n">
        <v>1.55</v>
      </c>
      <c r="D25" s="23" t="inlineStr">
        <is>
          <t>×</t>
        </is>
      </c>
      <c r="E25" t="inlineStr">
        <is>
          <t>Multiplica a TMB para o gasto estimado. Estimativa: revisar.</t>
        </is>
      </c>
    </row>
    <row r="26" ht="21.75" customHeight="1">
      <c r="A26" s="18" t="n"/>
      <c r="B26" s="22" t="inlineStr">
        <is>
          <t>Análise</t>
        </is>
      </c>
      <c r="C26" s="23" t="n"/>
      <c r="D26" s="23" t="n"/>
    </row>
    <row r="27" ht="21.75" customHeight="1">
      <c r="A27" s="18" t="inlineStr">
        <is>
          <t>analysis.weightTrendDays</t>
        </is>
      </c>
      <c r="B27" s="22" t="inlineStr">
        <is>
          <t>Dias da média de peso</t>
        </is>
      </c>
      <c r="C27" s="23" t="n">
        <v>7</v>
      </c>
      <c r="D27" s="23" t="inlineStr">
        <is>
          <t>dias</t>
        </is>
      </c>
      <c r="E27" t="inlineStr">
        <is>
          <t>Janela da média móvel de peso.</t>
        </is>
      </c>
    </row>
    <row r="28" ht="21.75" customHeight="1">
      <c r="A28" s="18" t="inlineStr">
        <is>
          <t>analysis.minWeighInsPerWeek</t>
        </is>
      </c>
      <c r="B28" s="22" t="inlineStr">
        <is>
          <t>Pesagens mínimas</t>
        </is>
      </c>
      <c r="C28" s="23" t="n">
        <v>3</v>
      </c>
      <c r="D28" s="23" t="inlineStr">
        <is>
          <t>por semana</t>
        </is>
      </c>
      <c r="E28" t="inlineStr">
        <is>
          <t>Abaixo disso a tendência de peso é dados insuficientes.</t>
        </is>
      </c>
    </row>
    <row r="29" ht="21.75" customHeight="1">
      <c r="A29" s="18" t="inlineStr">
        <is>
          <t>analysis.minCompleteFoodDays</t>
        </is>
      </c>
      <c r="B29" s="22" t="inlineStr">
        <is>
          <t>Dias completos mínimos</t>
        </is>
      </c>
      <c r="C29" s="23" t="n">
        <v>4</v>
      </c>
      <c r="D29" s="23" t="inlineStr">
        <is>
          <t>por semana</t>
        </is>
      </c>
      <c r="E29" t="inlineStr">
        <is>
          <t>Dias com alimentação completa para avaliar a dieta.</t>
        </is>
      </c>
    </row>
    <row r="30" ht="21.75" customHeight="1">
      <c r="A30" s="18" t="inlineStr">
        <is>
          <t>analysis.kcalTolerance</t>
        </is>
      </c>
      <c r="B30" s="22" t="inlineStr">
        <is>
          <t>Tolerância kcal</t>
        </is>
      </c>
      <c r="C30" s="23" t="n">
        <v>0.05</v>
      </c>
      <c r="D30" s="23" t="inlineStr">
        <is>
          <t>fração</t>
        </is>
      </c>
      <c r="E30" t="inlineStr">
        <is>
          <t>Faixa aceita em torno da meta de kcal (0,05 = ±5%).</t>
        </is>
      </c>
    </row>
    <row r="31" ht="21.75" customHeight="1">
      <c r="A31" s="18" t="inlineStr">
        <is>
          <t>analysis.fatTolerance</t>
        </is>
      </c>
      <c r="B31" s="18" t="inlineStr">
        <is>
          <t>Tolerância gordura</t>
        </is>
      </c>
      <c r="C31" s="18" t="n">
        <v>0.15</v>
      </c>
      <c r="D31" s="18" t="inlineStr">
        <is>
          <t>fração</t>
        </is>
      </c>
      <c r="E31" t="inlineStr">
        <is>
          <t>Faixa aceita em torno da meta de gordura.</t>
        </is>
      </c>
    </row>
    <row r="32" ht="21.75" customHeight="1">
      <c r="A32" s="18" t="inlineStr">
        <is>
          <t>analysis.waistNoiseCm</t>
        </is>
      </c>
      <c r="B32" s="18" t="inlineStr">
        <is>
          <t>Ruído da cintura</t>
        </is>
      </c>
      <c r="C32" s="18" t="n">
        <v>0.5</v>
      </c>
      <c r="D32" s="18" t="inlineStr">
        <is>
          <t>cm</t>
        </is>
      </c>
      <c r="E32" t="inlineStr">
        <is>
          <t>Variações menores são tratadas como estáveis.</t>
        </is>
      </c>
    </row>
    <row r="33" ht="21.75" customHeight="1">
      <c r="A33" s="28" t="inlineStr">
        <is>
          <t>analysis.weightNoisePctPerWeek</t>
        </is>
      </c>
      <c r="B33" s="28" t="inlineStr">
        <is>
          <t>Ruído do peso</t>
        </is>
      </c>
      <c r="C33" s="28" t="n">
        <v>0.25</v>
      </c>
      <c r="D33" s="28" t="inlineStr">
        <is>
          <t>%/semana</t>
        </is>
      </c>
      <c r="E33" t="inlineStr">
        <is>
          <t>Variações menores são tratadas como peso estável.</t>
        </is>
      </c>
    </row>
    <row r="34" ht="21.75" customHeight="1">
      <c r="A34" s="18" t="inlineStr">
        <is>
          <t>analysis.sleepMinH</t>
        </is>
      </c>
      <c r="B34" s="29" t="inlineStr">
        <is>
          <t>Sono mínimo</t>
        </is>
      </c>
      <c r="C34" s="18" t="n">
        <v>7</v>
      </c>
      <c r="D34" s="18" t="inlineStr">
        <is>
          <t>h</t>
        </is>
      </c>
      <c r="E34" t="inlineStr">
        <is>
          <t>Média abaixo disso gera sinal de sono baixo.</t>
        </is>
      </c>
    </row>
    <row r="35" ht="21.75" customHeight="1">
      <c r="A35" s="18" t="inlineStr">
        <is>
          <t>analysis.fatigueHigh</t>
        </is>
      </c>
      <c r="B35" s="29" t="inlineStr">
        <is>
          <t>Cansaço alto</t>
        </is>
      </c>
      <c r="C35" s="18" t="n">
        <v>4</v>
      </c>
      <c r="D35" s="18" t="inlineStr">
        <is>
          <t>1–5</t>
        </is>
      </c>
      <c r="E35" t="inlineStr">
        <is>
          <t>Média a partir disso gera sinal de fadiga alta.</t>
        </is>
      </c>
    </row>
    <row r="36" ht="21.75" customHeight="1">
      <c r="A36" s="18" t="inlineStr">
        <is>
          <t>analysis.hungerHigh</t>
        </is>
      </c>
      <c r="B36" s="29" t="inlineStr">
        <is>
          <t>Fome alta</t>
        </is>
      </c>
      <c r="C36" s="18" t="n">
        <v>4</v>
      </c>
      <c r="D36" s="18" t="inlineStr">
        <is>
          <t>1–5</t>
        </is>
      </c>
      <c r="E36" t="inlineStr">
        <is>
          <t>Média a partir disso gera sinal de fome alta.</t>
        </is>
      </c>
    </row>
    <row r="37" ht="21.75" customHeight="1">
      <c r="A37" s="18" t="inlineStr">
        <is>
          <t>analysis.painHigh</t>
        </is>
      </c>
      <c r="B37" s="29" t="inlineStr">
        <is>
          <t>Dor alta</t>
        </is>
      </c>
      <c r="C37" s="18" t="n">
        <v>4</v>
      </c>
      <c r="D37" s="18" t="inlineStr">
        <is>
          <t>0–10</t>
        </is>
      </c>
      <c r="E37" t="inlineStr">
        <is>
          <t>Máximo a partir disso gera sinal de dor alta.</t>
        </is>
      </c>
    </row>
    <row r="38" ht="21.75" customHeight="1">
      <c r="A38" s="18" t="inlineStr">
        <is>
          <t>analysis.reviewEveryDays</t>
        </is>
      </c>
      <c r="B38" s="29" t="inlineStr">
        <is>
          <t>Intervalo de revisão</t>
        </is>
      </c>
      <c r="C38" s="18" t="n">
        <v>7</v>
      </c>
      <c r="D38" s="18" t="inlineStr">
        <is>
          <t>dias</t>
        </is>
      </c>
      <c r="E38" t="inlineStr">
        <is>
          <t>Próxima revisão sugerida após uma decisão.</t>
        </is>
      </c>
    </row>
    <row r="39" ht="21.75" customHeight="1">
      <c r="A39" s="18" t="inlineStr">
        <is>
          <t>analysis.minWeeksForPhaseReview</t>
        </is>
      </c>
      <c r="B39" s="18" t="inlineStr">
        <is>
          <t>Semanas mínimas por fase</t>
        </is>
      </c>
      <c r="C39" s="18" t="n">
        <v>8</v>
      </c>
      <c r="D39" s="18" t="inlineStr">
        <is>
          <t>semanas</t>
        </is>
      </c>
      <c r="E39" t="inlineStr">
        <is>
          <t>Antes disso não se sugere revisar objetivo/fase por sucesso.</t>
        </is>
      </c>
    </row>
    <row r="40" ht="21.75" customHeight="1">
      <c r="A40" s="18" t="n"/>
      <c r="B40" s="18" t="inlineStr">
        <is>
          <t>Sistema</t>
        </is>
      </c>
      <c r="C40" s="18" t="n"/>
      <c r="D40" s="18" t="n"/>
    </row>
    <row r="41" ht="13.5" customHeight="1">
      <c r="A41" t="inlineStr">
        <is>
          <t>system.schemaVersion</t>
        </is>
      </c>
      <c r="B41" t="inlineStr">
        <is>
          <t>Versão do esquema</t>
        </is>
      </c>
      <c r="C41" t="inlineStr">
        <is>
          <t>4.0</t>
        </is>
      </c>
      <c r="E41" t="inlineStr">
        <is>
          <t>Gravada pela migração/configuração inicial. Não editar.</t>
        </is>
      </c>
    </row>
    <row r="42" ht="13.5" customHeight="1">
      <c r="A42" t="inlineStr">
        <is>
          <t>system.timezone</t>
        </is>
      </c>
      <c r="B42" t="inlineStr">
        <is>
          <t>Fuso horário</t>
        </is>
      </c>
      <c r="E42" t="inlineStr">
        <is>
          <t>Vazio = fuso do projeto do Apps Script.</t>
        </is>
      </c>
    </row>
    <row r="43" ht="13.5" customHeight="1">
      <c r="A43" t="inlineStr">
        <is>
          <t>system.otherClientNames</t>
        </is>
      </c>
      <c r="B43" t="inlineStr">
        <is>
          <t>Outros clientes (auditoria)</t>
        </is>
      </c>
      <c r="C43" t="inlineStr">
        <is>
          <t>Zoio</t>
        </is>
      </c>
      <c r="D43" t="inlineStr">
        <is>
          <t>lista</t>
        </is>
      </c>
      <c r="E43" t="inlineStr">
        <is>
          <t>Nomes de outras pessoas acompanhadas com esta planilha-modelo; a auditoria aponta textos que os mencionem.</t>
        </is>
      </c>
    </row>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dataValidations count="1">
    <dataValidation sqref="B27" showDropDown="0" showInputMessage="0" showErrorMessage="0" allowBlank="1" type="list">
      <formula1>"A revisar,Revisado,Revisar novamente"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5"/>
  <sheetViews>
    <sheetView showGridLines="0" workbookViewId="0">
      <pane ySplit="5" topLeftCell="A6" activePane="bottomLeft" state="frozen"/>
      <selection pane="bottomLeft" activeCell="A1" sqref="A1"/>
    </sheetView>
  </sheetViews>
  <sheetFormatPr baseColWidth="8" defaultRowHeight="15"/>
  <cols>
    <col width="15.03" customWidth="1" min="1" max="1"/>
    <col width="32.96" customWidth="1" min="2" max="2"/>
    <col width="19.96" customWidth="1" min="3" max="3"/>
    <col width="16.04" customWidth="1" min="4" max="4"/>
    <col width="18.95" customWidth="1" min="5" max="5"/>
    <col width="12" customWidth="1" min="6" max="6"/>
    <col width="12" customWidth="1" min="7" max="7"/>
    <col width="13.01" customWidth="1" min="8" max="8"/>
    <col width="14.02" customWidth="1" min="9" max="9"/>
    <col width="14.02" customWidth="1" min="10" max="10"/>
    <col width="33.97" customWidth="1" min="11" max="11"/>
    <col width="22.99" customWidth="1" min="12" max="12"/>
    <col width="57.97" customWidth="1" min="13" max="13"/>
    <col width="8.59" customWidth="1" min="14" max="14"/>
    <col width="69.97"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s>
  <sheetData>
    <row r="1" ht="21.75" customHeight="1">
      <c r="A1" s="18" t="n"/>
      <c r="B1" s="18" t="n"/>
      <c r="C1" s="18" t="n"/>
      <c r="D1" s="18" t="n"/>
      <c r="E1" s="18" t="n"/>
      <c r="F1" s="18" t="n"/>
      <c r="G1" s="18" t="n"/>
      <c r="H1" s="18" t="n"/>
      <c r="I1" s="18" t="n"/>
      <c r="J1" s="18" t="n"/>
      <c r="K1" s="18" t="n"/>
      <c r="L1" s="18" t="n"/>
      <c r="M1" s="18" t="n"/>
    </row>
    <row r="2" ht="21.75" customHeight="1">
      <c r="A2" s="19" t="inlineStr">
        <is>
          <t>Ficha vigente</t>
        </is>
      </c>
      <c r="B2" s="18" t="n"/>
      <c r="C2" s="18" t="n"/>
      <c r="D2" s="18" t="n"/>
      <c r="E2" s="18" t="n"/>
      <c r="F2" s="18" t="n"/>
      <c r="G2" s="18" t="n"/>
      <c r="H2" s="18" t="n"/>
      <c r="I2" s="18" t="n"/>
      <c r="J2" s="18" t="n"/>
      <c r="K2" s="18" t="n"/>
      <c r="L2" s="18" t="n"/>
      <c r="M2" s="18" t="n"/>
    </row>
    <row r="3" ht="21.75" customHeight="1">
      <c r="A3" s="20" t="inlineStr">
        <is>
          <t>Mostra a ficha em vigor. Edite como rascunho e use Salvar nova ficha para criar a próxima versão.</t>
        </is>
      </c>
      <c r="B3" s="18" t="n"/>
      <c r="C3" s="18" t="n"/>
      <c r="D3" s="18" t="n"/>
      <c r="E3" s="18" t="n"/>
      <c r="F3" s="18" t="n"/>
      <c r="G3" s="18" t="n"/>
      <c r="H3" s="18" t="n"/>
      <c r="I3" s="18" t="n"/>
      <c r="J3" s="18" t="n"/>
      <c r="K3" s="18" t="n"/>
      <c r="L3" s="18" t="n"/>
      <c r="M3" s="18" t="n"/>
    </row>
    <row r="4" ht="21.75" customHeight="1">
      <c r="A4" s="18" t="n"/>
      <c r="B4" s="18" t="n"/>
      <c r="C4" s="18" t="n"/>
      <c r="D4" s="18" t="n"/>
      <c r="E4" s="18" t="n"/>
      <c r="F4" s="18" t="n"/>
      <c r="G4" s="18" t="n"/>
      <c r="H4" s="18" t="n"/>
      <c r="I4" s="18" t="n"/>
      <c r="J4" s="18" t="n"/>
      <c r="K4" s="18" t="n"/>
      <c r="L4" s="18" t="n"/>
      <c r="M4" s="18" t="n"/>
    </row>
    <row r="5" ht="37.5" customHeight="1">
      <c r="A5" s="21" t="inlineStr">
        <is>
          <t>Sessão</t>
        </is>
      </c>
      <c r="B5" s="21" t="inlineStr">
        <is>
          <t>Exercício</t>
        </is>
      </c>
      <c r="C5" s="21" t="inlineStr">
        <is>
          <t>Grupo principal</t>
        </is>
      </c>
      <c r="D5" s="21" t="inlineStr">
        <is>
          <t>Work sets adaptação</t>
        </is>
      </c>
      <c r="E5" s="21" t="inlineStr">
        <is>
          <t>Work sets regular</t>
        </is>
      </c>
      <c r="F5" s="21" t="inlineStr">
        <is>
          <t>Reps work mín.</t>
        </is>
      </c>
      <c r="G5" s="21" t="inlineStr">
        <is>
          <t>Reps work máx.</t>
        </is>
      </c>
      <c r="H5" s="21" t="inlineStr">
        <is>
          <t>RIR work adaptação máx.</t>
        </is>
      </c>
      <c r="I5" s="21" t="inlineStr">
        <is>
          <t>RIR work regular máx.</t>
        </is>
      </c>
      <c r="J5" s="21" t="inlineStr">
        <is>
          <t>Descanso s</t>
        </is>
      </c>
      <c r="K5" s="21" t="inlineStr">
        <is>
          <t>Alternativa</t>
        </is>
      </c>
      <c r="L5" s="21" t="inlineStr">
        <is>
          <t>Status do plano</t>
        </is>
      </c>
      <c r="M5" s="21" t="inlineStr">
        <is>
          <t>Tipos de série</t>
        </is>
      </c>
    </row>
    <row r="6" ht="48" customHeight="1">
      <c r="A6" s="18" t="inlineStr">
        <is>
          <t>Upper</t>
        </is>
      </c>
      <c r="B6" s="18" t="inlineStr">
        <is>
          <t>Supino inclinado</t>
        </is>
      </c>
      <c r="C6" s="18" t="inlineStr">
        <is>
          <t>Peito</t>
        </is>
      </c>
      <c r="D6" s="30" t="n">
        <v>2</v>
      </c>
      <c r="E6" s="30" t="n">
        <v>2</v>
      </c>
      <c r="F6" s="30" t="n">
        <v>6</v>
      </c>
      <c r="G6" s="30" t="n">
        <v>10</v>
      </c>
      <c r="H6" s="30" t="n">
        <v>1</v>
      </c>
      <c r="I6" s="30" t="n">
        <v>1</v>
      </c>
      <c r="J6" s="30" t="n">
        <v>150</v>
      </c>
      <c r="K6" s="30" t="inlineStr">
        <is>
          <t>Supino inclinado máquina</t>
        </is>
      </c>
      <c r="L6" s="30" t="inlineStr">
        <is>
          <t>Confirmado por Luan</t>
        </is>
      </c>
      <c r="M6" s="30" t="inlineStr">
        <is>
          <t>1 aquecimento + 1 feeder de 6 reps longe da falha + 2 work sets de 6–10 reps, 0–1 RIR.</t>
        </is>
      </c>
      <c r="O6" s="13" t="n"/>
    </row>
    <row r="7" ht="48" customHeight="1">
      <c r="A7" s="18" t="inlineStr">
        <is>
          <t>Upper</t>
        </is>
      </c>
      <c r="B7" s="18" t="inlineStr">
        <is>
          <t>Puxada aberta</t>
        </is>
      </c>
      <c r="C7" s="18" t="inlineStr">
        <is>
          <t>Costas</t>
        </is>
      </c>
      <c r="D7" s="30" t="n">
        <v>2</v>
      </c>
      <c r="E7" s="30" t="n">
        <v>2</v>
      </c>
      <c r="F7" s="30" t="n">
        <v>6</v>
      </c>
      <c r="G7" s="30" t="n">
        <v>10</v>
      </c>
      <c r="H7" s="30" t="n">
        <v>1</v>
      </c>
      <c r="I7" s="30" t="n">
        <v>1</v>
      </c>
      <c r="J7" s="30" t="n">
        <v>150</v>
      </c>
      <c r="K7" s="30" t="n"/>
      <c r="L7" s="30" t="inlineStr">
        <is>
          <t>Confirmado por Luan</t>
        </is>
      </c>
      <c r="M7" s="30" t="inlineStr">
        <is>
          <t>1 aquecimento + 1 feeder de 6 reps longe da falha + 2 work sets de 6–10 reps, 0–1 RIR.</t>
        </is>
      </c>
      <c r="O7" s="13" t="n"/>
    </row>
    <row r="8" ht="48" customHeight="1">
      <c r="A8" s="18" t="inlineStr">
        <is>
          <t>Upper</t>
        </is>
      </c>
      <c r="B8" s="18" t="inlineStr">
        <is>
          <t>Remada baixa com triângulo</t>
        </is>
      </c>
      <c r="C8" s="18" t="inlineStr">
        <is>
          <t>Costas</t>
        </is>
      </c>
      <c r="D8" s="30" t="n">
        <v>2</v>
      </c>
      <c r="E8" s="30" t="n">
        <v>2</v>
      </c>
      <c r="F8" s="30" t="n">
        <v>6</v>
      </c>
      <c r="G8" s="30" t="n">
        <v>10</v>
      </c>
      <c r="H8" s="30" t="n">
        <v>1</v>
      </c>
      <c r="I8" s="30" t="n">
        <v>1</v>
      </c>
      <c r="J8" s="30" t="n">
        <v>150</v>
      </c>
      <c r="K8" s="30" t="n"/>
      <c r="L8" s="30" t="inlineStr">
        <is>
          <t>Confirmado por Luan</t>
        </is>
      </c>
      <c r="M8" s="30" t="inlineStr">
        <is>
          <t>1 aquecimento + 1 feeder de 6 reps longe da falha + 2 work sets de 6–10 reps, 0–1 RIR.</t>
        </is>
      </c>
      <c r="O8" s="13" t="n"/>
    </row>
    <row r="9" ht="48" customHeight="1">
      <c r="A9" s="18" t="inlineStr">
        <is>
          <t>Upper</t>
        </is>
      </c>
      <c r="B9" s="18" t="inlineStr">
        <is>
          <t>Supino reto na máquina</t>
        </is>
      </c>
      <c r="C9" s="18" t="inlineStr">
        <is>
          <t>Peito</t>
        </is>
      </c>
      <c r="D9" s="30" t="n">
        <v>2</v>
      </c>
      <c r="E9" s="30" t="n">
        <v>2</v>
      </c>
      <c r="F9" s="30" t="n">
        <v>6</v>
      </c>
      <c r="G9" s="30" t="n">
        <v>10</v>
      </c>
      <c r="H9" s="30" t="n">
        <v>1</v>
      </c>
      <c r="I9" s="30" t="n">
        <v>1</v>
      </c>
      <c r="J9" s="30" t="n">
        <v>150</v>
      </c>
      <c r="K9" s="30" t="n"/>
      <c r="L9" s="30" t="inlineStr">
        <is>
          <t>Confirmado por Luan</t>
        </is>
      </c>
      <c r="M9" s="30" t="inlineStr">
        <is>
          <t>1 aquecimento + 1 feeder de 6 reps longe da falha + 2 work sets de 6–10 reps, 0–1 RIR.</t>
        </is>
      </c>
      <c r="O9" s="13" t="n"/>
    </row>
    <row r="10" ht="48" customHeight="1">
      <c r="A10" s="18" t="inlineStr">
        <is>
          <t>Upper</t>
        </is>
      </c>
      <c r="B10" s="18" t="inlineStr">
        <is>
          <t>Elevação lateral</t>
        </is>
      </c>
      <c r="C10" s="18" t="inlineStr">
        <is>
          <t>Ombros</t>
        </is>
      </c>
      <c r="D10" s="30" t="n">
        <v>2</v>
      </c>
      <c r="E10" s="30" t="n">
        <v>2</v>
      </c>
      <c r="F10" s="30" t="n">
        <v>6</v>
      </c>
      <c r="G10" s="30" t="n">
        <v>10</v>
      </c>
      <c r="H10" s="30" t="n">
        <v>1</v>
      </c>
      <c r="I10" s="30" t="n">
        <v>1</v>
      </c>
      <c r="J10" s="30" t="n">
        <v>120</v>
      </c>
      <c r="K10" s="30" t="n"/>
      <c r="L10" s="30" t="inlineStr">
        <is>
          <t>Confirmado por Luan</t>
        </is>
      </c>
      <c r="M10" s="30" t="inlineStr">
        <is>
          <t>1 aquecimento + 1 feeder de 6 reps longe da falha + 2 work sets de 6–10 reps, 0–1 RIR.</t>
        </is>
      </c>
      <c r="O10" s="13" t="n"/>
    </row>
    <row r="11" ht="21.75" customHeight="1">
      <c r="A11" s="18" t="inlineStr">
        <is>
          <t>Upper</t>
        </is>
      </c>
      <c r="B11" s="18" t="inlineStr">
        <is>
          <t>Crucifixo inverso</t>
        </is>
      </c>
      <c r="C11" s="18" t="inlineStr">
        <is>
          <t>Ombros</t>
        </is>
      </c>
      <c r="D11" s="30" t="n">
        <v>2</v>
      </c>
      <c r="E11" s="30" t="n">
        <v>2</v>
      </c>
      <c r="F11" s="30" t="n">
        <v>6</v>
      </c>
      <c r="G11" s="30" t="n">
        <v>10</v>
      </c>
      <c r="H11" s="30" t="n">
        <v>1</v>
      </c>
      <c r="I11" s="30" t="n">
        <v>1</v>
      </c>
      <c r="J11" s="30" t="n">
        <v>120</v>
      </c>
      <c r="K11" s="30" t="inlineStr">
        <is>
          <t>Peck deck reverso</t>
        </is>
      </c>
      <c r="L11" s="30" t="inlineStr">
        <is>
          <t>Confirmado por Luan</t>
        </is>
      </c>
      <c r="M11" s="30" t="inlineStr">
        <is>
          <t>1 aquecimento + 1 feeder de 6 reps longe da falha + 2 work sets de 6–10 reps, 0–1 RIR.</t>
        </is>
      </c>
    </row>
    <row r="12" ht="21.75" customHeight="1">
      <c r="A12" s="18" t="inlineStr">
        <is>
          <t>Upper</t>
        </is>
      </c>
      <c r="B12" s="18" t="inlineStr">
        <is>
          <t>Rosca Scott</t>
        </is>
      </c>
      <c r="C12" s="18" t="inlineStr">
        <is>
          <t>Bíceps</t>
        </is>
      </c>
      <c r="D12" s="30" t="n">
        <v>2</v>
      </c>
      <c r="E12" s="30" t="n">
        <v>2</v>
      </c>
      <c r="F12" s="30" t="n">
        <v>6</v>
      </c>
      <c r="G12" s="30" t="n">
        <v>10</v>
      </c>
      <c r="H12" s="30" t="n">
        <v>1</v>
      </c>
      <c r="I12" s="30" t="n">
        <v>1</v>
      </c>
      <c r="J12" s="30" t="n">
        <v>120</v>
      </c>
      <c r="K12" s="30" t="n"/>
      <c r="L12" s="30" t="inlineStr">
        <is>
          <t>Confirmado por Luan</t>
        </is>
      </c>
      <c r="M12" s="30" t="inlineStr">
        <is>
          <t>1 aquecimento + 1 feeder de 6 reps longe da falha + 2 work sets de 6–10 reps, 0–1 RIR.</t>
        </is>
      </c>
    </row>
    <row r="13" ht="21.75" customHeight="1">
      <c r="A13" s="18" t="inlineStr">
        <is>
          <t>Upper</t>
        </is>
      </c>
      <c r="B13" s="18" t="inlineStr">
        <is>
          <t>Tríceps na corda</t>
        </is>
      </c>
      <c r="C13" s="18" t="inlineStr">
        <is>
          <t>Tríceps</t>
        </is>
      </c>
      <c r="D13" s="30" t="n">
        <v>2</v>
      </c>
      <c r="E13" s="30" t="n">
        <v>2</v>
      </c>
      <c r="F13" s="30" t="n">
        <v>6</v>
      </c>
      <c r="G13" s="30" t="n">
        <v>10</v>
      </c>
      <c r="H13" s="30" t="n">
        <v>1</v>
      </c>
      <c r="I13" s="30" t="n">
        <v>1</v>
      </c>
      <c r="J13" s="30" t="n">
        <v>120</v>
      </c>
      <c r="K13" s="30" t="n"/>
      <c r="L13" s="30" t="inlineStr">
        <is>
          <t>Confirmado por Luan</t>
        </is>
      </c>
      <c r="M13" s="30" t="inlineStr">
        <is>
          <t>1 aquecimento + 1 feeder de 6 reps longe da falha + 2 work sets de 6–10 reps, 0–1 RIR.</t>
        </is>
      </c>
    </row>
    <row r="14" ht="21.75" customHeight="1">
      <c r="A14" s="18" t="inlineStr">
        <is>
          <t>Lower</t>
        </is>
      </c>
      <c r="B14" s="18" t="inlineStr">
        <is>
          <t>Agachamento orientado</t>
        </is>
      </c>
      <c r="C14" s="18" t="inlineStr">
        <is>
          <t>Quadríceps</t>
        </is>
      </c>
      <c r="D14" s="30" t="n">
        <v>2</v>
      </c>
      <c r="E14" s="30" t="n">
        <v>2</v>
      </c>
      <c r="F14" s="30" t="n">
        <v>6</v>
      </c>
      <c r="G14" s="30" t="n">
        <v>10</v>
      </c>
      <c r="H14" s="30" t="n">
        <v>1</v>
      </c>
      <c r="I14" s="30" t="n">
        <v>1</v>
      </c>
      <c r="J14" s="30" t="n">
        <v>150</v>
      </c>
      <c r="K14" s="30" t="n"/>
      <c r="L14" s="30" t="inlineStr">
        <is>
          <t>Confirmado por Luan</t>
        </is>
      </c>
      <c r="M14" s="30" t="inlineStr">
        <is>
          <t>1 aquecimento + 1 feeder de 6 reps longe da falha + 2 work sets de 6–10 reps, 0–1 RIR.</t>
        </is>
      </c>
    </row>
    <row r="15" ht="21.75" customHeight="1">
      <c r="A15" s="18" t="inlineStr">
        <is>
          <t>Lower</t>
        </is>
      </c>
      <c r="B15" s="18" t="inlineStr">
        <is>
          <t>Leg press</t>
        </is>
      </c>
      <c r="C15" s="18" t="inlineStr">
        <is>
          <t>Quadríceps</t>
        </is>
      </c>
      <c r="D15" s="30" t="n">
        <v>2</v>
      </c>
      <c r="E15" s="30" t="n">
        <v>2</v>
      </c>
      <c r="F15" s="30" t="n">
        <v>6</v>
      </c>
      <c r="G15" s="30" t="n">
        <v>10</v>
      </c>
      <c r="H15" s="30" t="n">
        <v>1</v>
      </c>
      <c r="I15" s="30" t="n">
        <v>1</v>
      </c>
      <c r="J15" s="30" t="n">
        <v>150</v>
      </c>
      <c r="K15" s="30" t="n"/>
      <c r="L15" s="30" t="inlineStr">
        <is>
          <t>Confirmado por Luan</t>
        </is>
      </c>
      <c r="M15" s="30" t="inlineStr">
        <is>
          <t>1 aquecimento + 1 feeder de 6 reps longe da falha + 2 work sets de 6–10 reps, 0–1 RIR.</t>
        </is>
      </c>
    </row>
    <row r="16" ht="21.75" customHeight="1">
      <c r="A16" s="18" t="inlineStr">
        <is>
          <t>Lower</t>
        </is>
      </c>
      <c r="B16" s="18" t="inlineStr">
        <is>
          <t>Stiff orientado</t>
        </is>
      </c>
      <c r="C16" s="18" t="inlineStr">
        <is>
          <t>Posteriores</t>
        </is>
      </c>
      <c r="D16" s="30" t="n">
        <v>2</v>
      </c>
      <c r="E16" s="30" t="n">
        <v>2</v>
      </c>
      <c r="F16" s="30" t="n">
        <v>6</v>
      </c>
      <c r="G16" s="30" t="n">
        <v>10</v>
      </c>
      <c r="H16" s="30" t="n">
        <v>1</v>
      </c>
      <c r="I16" s="30" t="n">
        <v>1</v>
      </c>
      <c r="J16" s="30" t="n">
        <v>150</v>
      </c>
      <c r="K16" s="30" t="n"/>
      <c r="L16" s="30" t="inlineStr">
        <is>
          <t>Confirmado por Luan</t>
        </is>
      </c>
      <c r="M16" s="30" t="inlineStr">
        <is>
          <t>1 aquecimento + 1 feeder de 6 reps longe da falha + 2 work sets de 6–10 reps, 0–1 RIR.</t>
        </is>
      </c>
    </row>
    <row r="17" ht="21.75" customHeight="1">
      <c r="A17" s="18" t="inlineStr">
        <is>
          <t>Lower</t>
        </is>
      </c>
      <c r="B17" s="18" t="inlineStr">
        <is>
          <t>Mesa flexora</t>
        </is>
      </c>
      <c r="C17" s="18" t="inlineStr">
        <is>
          <t>Posteriores</t>
        </is>
      </c>
      <c r="D17" s="30" t="n">
        <v>2</v>
      </c>
      <c r="E17" s="30" t="n">
        <v>2</v>
      </c>
      <c r="F17" s="30" t="n">
        <v>6</v>
      </c>
      <c r="G17" s="30" t="n">
        <v>10</v>
      </c>
      <c r="H17" s="30" t="n">
        <v>1</v>
      </c>
      <c r="I17" s="30" t="n">
        <v>1</v>
      </c>
      <c r="J17" s="30" t="n">
        <v>150</v>
      </c>
      <c r="K17" s="30" t="n"/>
      <c r="L17" s="30" t="inlineStr">
        <is>
          <t>Confirmado por Luan</t>
        </is>
      </c>
      <c r="M17" s="30" t="inlineStr">
        <is>
          <t>1 aquecimento + 1 feeder de 6 reps longe da falha + 2 work sets de 6–10 reps, 0–1 RIR.</t>
        </is>
      </c>
    </row>
    <row r="18" ht="21.75" customHeight="1">
      <c r="A18" s="18" t="inlineStr">
        <is>
          <t>Lower</t>
        </is>
      </c>
      <c r="B18" s="18" t="inlineStr">
        <is>
          <t>Panturrilha em pé</t>
        </is>
      </c>
      <c r="C18" s="18" t="inlineStr">
        <is>
          <t>Panturrilhas</t>
        </is>
      </c>
      <c r="D18" s="30" t="n">
        <v>2</v>
      </c>
      <c r="E18" s="30" t="n">
        <v>2</v>
      </c>
      <c r="F18" s="30" t="n">
        <v>6</v>
      </c>
      <c r="G18" s="30" t="n">
        <v>10</v>
      </c>
      <c r="H18" s="30" t="n">
        <v>1</v>
      </c>
      <c r="I18" s="30" t="n">
        <v>1</v>
      </c>
      <c r="J18" s="30" t="n">
        <v>120</v>
      </c>
      <c r="K18" s="30" t="inlineStr">
        <is>
          <t>Panturrilha sentado</t>
        </is>
      </c>
      <c r="L18" s="30" t="inlineStr">
        <is>
          <t>Confirmado por Luan</t>
        </is>
      </c>
      <c r="M18" s="30" t="inlineStr">
        <is>
          <t>1 aquecimento + 1 feeder de 6 reps longe da falha + 2 work sets de 6–10 reps, 0–1 RIR.</t>
        </is>
      </c>
    </row>
    <row r="19" ht="21.75" customHeight="1">
      <c r="A19" s="18" t="inlineStr">
        <is>
          <t>Lower</t>
        </is>
      </c>
      <c r="B19" s="18" t="inlineStr">
        <is>
          <t>Abdominal na polia</t>
        </is>
      </c>
      <c r="C19" s="18" t="inlineStr">
        <is>
          <t>Abdômen</t>
        </is>
      </c>
      <c r="D19" s="30" t="n">
        <v>2</v>
      </c>
      <c r="E19" s="30" t="n">
        <v>2</v>
      </c>
      <c r="F19" s="30" t="n">
        <v>6</v>
      </c>
      <c r="G19" s="30" t="n">
        <v>10</v>
      </c>
      <c r="H19" s="30" t="n">
        <v>1</v>
      </c>
      <c r="I19" s="30" t="n">
        <v>1</v>
      </c>
      <c r="J19" s="30" t="n">
        <v>120</v>
      </c>
      <c r="K19" s="30" t="n"/>
      <c r="L19" s="30" t="inlineStr">
        <is>
          <t>Confirmado por Luan</t>
        </is>
      </c>
      <c r="M19" s="30" t="inlineStr">
        <is>
          <t>1 aquecimento + 1 feeder de 6 reps longe da falha + 2 work sets de 6–10 reps, 0–1 RIR.</t>
        </is>
      </c>
    </row>
    <row r="20" ht="21.75" customHeight="1">
      <c r="A20" s="18" t="inlineStr">
        <is>
          <t>Full Body</t>
        </is>
      </c>
      <c r="B20" s="18" t="inlineStr">
        <is>
          <t>Leg press</t>
        </is>
      </c>
      <c r="C20" s="18" t="inlineStr">
        <is>
          <t>Quadríceps</t>
        </is>
      </c>
      <c r="D20" s="30" t="n">
        <v>2</v>
      </c>
      <c r="E20" s="30" t="n">
        <v>2</v>
      </c>
      <c r="F20" s="30" t="n">
        <v>6</v>
      </c>
      <c r="G20" s="30" t="n">
        <v>10</v>
      </c>
      <c r="H20" s="30" t="n">
        <v>1</v>
      </c>
      <c r="I20" s="30" t="n">
        <v>1</v>
      </c>
      <c r="J20" s="30" t="n">
        <v>150</v>
      </c>
      <c r="K20" s="30" t="n"/>
      <c r="L20" s="30" t="inlineStr">
        <is>
          <t>Confirmado por Luan</t>
        </is>
      </c>
      <c r="M20" s="30" t="inlineStr">
        <is>
          <t>1 aquecimento + 1 feeder de 6 reps longe da falha + 2 work sets de 6–10 reps, 0–1 RIR.</t>
        </is>
      </c>
    </row>
    <row r="21" ht="21.75" customHeight="1">
      <c r="A21" s="18" t="inlineStr">
        <is>
          <t>Full Body</t>
        </is>
      </c>
      <c r="B21" s="18" t="inlineStr">
        <is>
          <t>Supino inclinado com halteres</t>
        </is>
      </c>
      <c r="C21" s="18" t="inlineStr">
        <is>
          <t>Peito</t>
        </is>
      </c>
      <c r="D21" s="30" t="n">
        <v>2</v>
      </c>
      <c r="E21" s="30" t="n">
        <v>2</v>
      </c>
      <c r="F21" s="30" t="n">
        <v>6</v>
      </c>
      <c r="G21" s="30" t="n">
        <v>10</v>
      </c>
      <c r="H21" s="30" t="n">
        <v>1</v>
      </c>
      <c r="I21" s="30" t="n">
        <v>1</v>
      </c>
      <c r="J21" s="30" t="n">
        <v>150</v>
      </c>
      <c r="K21" s="30" t="n"/>
      <c r="L21" s="30" t="inlineStr">
        <is>
          <t>Confirmado por Luan</t>
        </is>
      </c>
      <c r="M21" s="30" t="inlineStr">
        <is>
          <t>1 aquecimento + 1 feeder de 6 reps longe da falha + 2 work sets de 6–10 reps, 0–1 RIR.</t>
        </is>
      </c>
    </row>
    <row r="22" ht="21.75" customHeight="1">
      <c r="A22" s="18" t="inlineStr">
        <is>
          <t>Full Body</t>
        </is>
      </c>
      <c r="B22" s="18" t="inlineStr">
        <is>
          <t>Puxada aberta</t>
        </is>
      </c>
      <c r="C22" s="18" t="inlineStr">
        <is>
          <t>Costas</t>
        </is>
      </c>
      <c r="D22" s="30" t="n">
        <v>2</v>
      </c>
      <c r="E22" s="30" t="n">
        <v>2</v>
      </c>
      <c r="F22" s="30" t="n">
        <v>6</v>
      </c>
      <c r="G22" s="30" t="n">
        <v>10</v>
      </c>
      <c r="H22" s="30" t="n">
        <v>1</v>
      </c>
      <c r="I22" s="30" t="n">
        <v>1</v>
      </c>
      <c r="J22" s="30" t="n">
        <v>150</v>
      </c>
      <c r="K22" s="30" t="n"/>
      <c r="L22" s="30" t="inlineStr">
        <is>
          <t>Confirmado por Luan</t>
        </is>
      </c>
      <c r="M22" s="30" t="inlineStr">
        <is>
          <t>1 aquecimento + 1 feeder de 6 reps longe da falha + 2 work sets de 6–10 reps, 0–1 RIR.</t>
        </is>
      </c>
    </row>
    <row r="23" ht="21.75" customHeight="1">
      <c r="A23" s="18" t="inlineStr">
        <is>
          <t>Full Body</t>
        </is>
      </c>
      <c r="B23" s="18" t="inlineStr">
        <is>
          <t>Remada com apoio</t>
        </is>
      </c>
      <c r="C23" s="18" t="inlineStr">
        <is>
          <t>Costas</t>
        </is>
      </c>
      <c r="D23" s="30" t="n">
        <v>2</v>
      </c>
      <c r="E23" s="30" t="n">
        <v>2</v>
      </c>
      <c r="F23" s="30" t="n">
        <v>6</v>
      </c>
      <c r="G23" s="30" t="n">
        <v>10</v>
      </c>
      <c r="H23" s="30" t="n">
        <v>1</v>
      </c>
      <c r="I23" s="30" t="n">
        <v>1</v>
      </c>
      <c r="J23" s="30" t="n">
        <v>150</v>
      </c>
      <c r="K23" s="30" t="inlineStr">
        <is>
          <t>Máquina disponível; confirmar execução com Luan</t>
        </is>
      </c>
      <c r="L23" s="30" t="inlineStr">
        <is>
          <t>Confirmado por Luan</t>
        </is>
      </c>
      <c r="M23" s="30" t="inlineStr">
        <is>
          <t>1 aquecimento + 1 feeder de 6 reps longe da falha + 2 work sets de 6–10 reps, 0–1 RIR.</t>
        </is>
      </c>
    </row>
    <row r="24" ht="21.75" customHeight="1">
      <c r="A24" s="18" t="inlineStr">
        <is>
          <t>Full Body</t>
        </is>
      </c>
      <c r="B24" s="18" t="inlineStr">
        <is>
          <t>Elevação lateral</t>
        </is>
      </c>
      <c r="C24" s="18" t="inlineStr">
        <is>
          <t>Ombros</t>
        </is>
      </c>
      <c r="D24" s="30" t="n">
        <v>2</v>
      </c>
      <c r="E24" s="30" t="n">
        <v>2</v>
      </c>
      <c r="F24" s="30" t="n">
        <v>6</v>
      </c>
      <c r="G24" s="30" t="n">
        <v>10</v>
      </c>
      <c r="H24" s="30" t="n">
        <v>1</v>
      </c>
      <c r="I24" s="30" t="n">
        <v>1</v>
      </c>
      <c r="J24" s="30" t="n">
        <v>120</v>
      </c>
      <c r="K24" s="30" t="n"/>
      <c r="L24" s="30" t="inlineStr">
        <is>
          <t>Confirmado por Luan</t>
        </is>
      </c>
      <c r="M24" s="30" t="inlineStr">
        <is>
          <t>1 aquecimento + 1 feeder de 6 reps longe da falha + 2 work sets de 6–10 reps, 0–1 RIR.</t>
        </is>
      </c>
    </row>
    <row r="25" ht="21.75" customHeight="1">
      <c r="A25" s="18" t="inlineStr">
        <is>
          <t>Full Body</t>
        </is>
      </c>
      <c r="B25" s="18" t="inlineStr">
        <is>
          <t>Crucifixo inverso</t>
        </is>
      </c>
      <c r="C25" s="18" t="inlineStr">
        <is>
          <t>Ombros</t>
        </is>
      </c>
      <c r="D25" s="30" t="n">
        <v>2</v>
      </c>
      <c r="E25" s="30" t="n">
        <v>2</v>
      </c>
      <c r="F25" s="30" t="n">
        <v>6</v>
      </c>
      <c r="G25" s="30" t="n">
        <v>10</v>
      </c>
      <c r="H25" s="30" t="n">
        <v>1</v>
      </c>
      <c r="I25" s="30" t="n">
        <v>1</v>
      </c>
      <c r="J25" s="30" t="n">
        <v>120</v>
      </c>
      <c r="K25" s="30" t="inlineStr">
        <is>
          <t>Peck deck reverso</t>
        </is>
      </c>
      <c r="L25" s="30" t="inlineStr">
        <is>
          <t>Confirmado por Luan</t>
        </is>
      </c>
      <c r="M25" s="30" t="inlineStr">
        <is>
          <t>1 aquecimento + 1 feeder de 6 reps longe da falha + 2 work sets de 6–10 reps, 0–1 RIR.</t>
        </is>
      </c>
    </row>
    <row r="26" ht="21.75" customHeight="1">
      <c r="A26" s="18" t="inlineStr">
        <is>
          <t>Full Body</t>
        </is>
      </c>
      <c r="B26" s="18" t="inlineStr">
        <is>
          <t>Rosca alternada</t>
        </is>
      </c>
      <c r="C26" s="18" t="inlineStr">
        <is>
          <t>Bíceps</t>
        </is>
      </c>
      <c r="D26" s="30" t="n">
        <v>2</v>
      </c>
      <c r="E26" s="30" t="n">
        <v>2</v>
      </c>
      <c r="F26" s="30" t="n">
        <v>6</v>
      </c>
      <c r="G26" s="30" t="n">
        <v>10</v>
      </c>
      <c r="H26" s="30" t="n">
        <v>1</v>
      </c>
      <c r="I26" s="30" t="n">
        <v>1</v>
      </c>
      <c r="J26" s="30" t="n">
        <v>120</v>
      </c>
      <c r="K26" s="30" t="n"/>
      <c r="L26" s="30" t="inlineStr">
        <is>
          <t>Confirmado por Luan</t>
        </is>
      </c>
      <c r="M26" s="30" t="inlineStr">
        <is>
          <t>1 aquecimento + 1 feeder de 6 reps longe da falha + 2 work sets de 6–10 reps, 0–1 RIR.</t>
        </is>
      </c>
    </row>
    <row r="27" ht="21.75" customHeight="1">
      <c r="A27" s="18" t="inlineStr">
        <is>
          <t>Full Body</t>
        </is>
      </c>
      <c r="B27" s="18" t="inlineStr">
        <is>
          <t>Tríceps na corda</t>
        </is>
      </c>
      <c r="C27" s="18" t="inlineStr">
        <is>
          <t>Tríceps</t>
        </is>
      </c>
      <c r="D27" s="30" t="n">
        <v>2</v>
      </c>
      <c r="E27" s="30" t="n">
        <v>2</v>
      </c>
      <c r="F27" s="30" t="n">
        <v>6</v>
      </c>
      <c r="G27" s="30" t="n">
        <v>10</v>
      </c>
      <c r="H27" s="30" t="n">
        <v>1</v>
      </c>
      <c r="I27" s="30" t="n">
        <v>1</v>
      </c>
      <c r="J27" s="30" t="n">
        <v>120</v>
      </c>
      <c r="K27" s="30" t="n"/>
      <c r="L27" s="30" t="inlineStr">
        <is>
          <t>Confirmado por Luan</t>
        </is>
      </c>
      <c r="M27" s="30" t="inlineStr">
        <is>
          <t>1 aquecimento + 1 feeder de 6 reps longe da falha + 2 work sets de 6–10 reps, 0–1 RIR.</t>
        </is>
      </c>
    </row>
    <row r="28" ht="21.75" customHeight="1">
      <c r="A28" s="18" t="n"/>
      <c r="B28" s="18" t="n"/>
      <c r="C28" s="18" t="n"/>
      <c r="D28" s="18" t="n"/>
      <c r="E28" s="18" t="n"/>
      <c r="F28" s="18" t="n"/>
      <c r="G28" s="18" t="n"/>
      <c r="H28" s="18" t="n"/>
      <c r="I28" s="18" t="n"/>
      <c r="J28" s="18" t="n"/>
      <c r="K28" s="18" t="n"/>
      <c r="L28" s="18" t="n"/>
      <c r="M28" s="18" t="n"/>
    </row>
    <row r="29" ht="21.75" customHeight="1">
      <c r="A29" s="18" t="n"/>
      <c r="B29" s="18" t="n"/>
      <c r="C29" s="18" t="n"/>
      <c r="D29" s="18" t="n"/>
      <c r="E29" s="18" t="n"/>
      <c r="F29" s="18" t="n"/>
      <c r="G29" s="18" t="n"/>
      <c r="H29" s="18" t="n"/>
      <c r="I29" s="18" t="n"/>
      <c r="J29" s="18" t="n"/>
      <c r="K29" s="18" t="n"/>
      <c r="L29" s="18" t="n"/>
      <c r="M29" s="18" t="n"/>
    </row>
    <row r="30" ht="21.75" customHeight="1">
      <c r="A30" s="18" t="n"/>
      <c r="B30" s="18" t="n"/>
      <c r="C30" s="18" t="n"/>
      <c r="D30" s="18" t="n"/>
      <c r="E30" s="18" t="n"/>
      <c r="F30" s="18" t="n"/>
      <c r="G30" s="18" t="n"/>
      <c r="H30" s="18" t="n"/>
      <c r="I30" s="18" t="n"/>
      <c r="J30" s="18" t="n"/>
      <c r="K30" s="18" t="n"/>
      <c r="L30" s="18" t="n"/>
      <c r="M30" s="18" t="n"/>
    </row>
    <row r="31" ht="21.75" customHeight="1">
      <c r="A31" s="18" t="n"/>
      <c r="B31" s="18" t="n"/>
      <c r="C31" s="18" t="n"/>
      <c r="D31" s="18" t="n"/>
      <c r="E31" s="18" t="n"/>
      <c r="F31" s="18" t="n"/>
      <c r="G31" s="18" t="n"/>
      <c r="H31" s="18" t="n"/>
      <c r="I31" s="18" t="n"/>
      <c r="J31" s="18" t="n"/>
      <c r="K31" s="18" t="n"/>
      <c r="L31" s="18" t="n"/>
      <c r="M31" s="18" t="n"/>
    </row>
    <row r="32" ht="21.75" customHeight="1">
      <c r="A32" s="18" t="n"/>
      <c r="B32" s="18" t="n"/>
      <c r="C32" s="18" t="n"/>
      <c r="D32" s="18" t="n"/>
      <c r="E32" s="18" t="n"/>
      <c r="F32" s="18" t="n"/>
      <c r="G32" s="18" t="n"/>
      <c r="H32" s="18" t="n"/>
      <c r="I32" s="18" t="n"/>
      <c r="J32" s="18" t="n"/>
      <c r="K32" s="18" t="n"/>
      <c r="L32" s="18" t="n"/>
      <c r="M32" s="18" t="n"/>
    </row>
    <row r="33" ht="21.75" customHeight="1">
      <c r="A33" s="18" t="n"/>
      <c r="B33" s="18" t="n"/>
      <c r="C33" s="18" t="n"/>
      <c r="D33" s="18" t="n"/>
      <c r="E33" s="18" t="n"/>
      <c r="F33" s="18" t="n"/>
      <c r="G33" s="18" t="n"/>
      <c r="H33" s="18" t="n"/>
      <c r="I33" s="18" t="n"/>
      <c r="J33" s="18" t="n"/>
      <c r="K33" s="18" t="n"/>
      <c r="L33" s="18" t="n"/>
      <c r="M33" s="18" t="n"/>
    </row>
    <row r="34" ht="21.75" customHeight="1">
      <c r="A34" s="18" t="n"/>
      <c r="B34" s="18" t="n"/>
      <c r="C34" s="18" t="n"/>
      <c r="D34" s="18" t="n"/>
      <c r="E34" s="18" t="n"/>
      <c r="F34" s="18" t="n"/>
      <c r="G34" s="18" t="n"/>
      <c r="H34" s="18" t="n"/>
      <c r="I34" s="18" t="n"/>
      <c r="J34" s="18" t="n"/>
      <c r="K34" s="18" t="n"/>
      <c r="L34" s="18" t="n"/>
      <c r="M34" s="18" t="n"/>
    </row>
    <row r="35" ht="21.75" customHeight="1">
      <c r="A35" s="18" t="n"/>
      <c r="B35" s="18" t="n"/>
      <c r="C35" s="18" t="n"/>
      <c r="D35" s="18" t="n"/>
      <c r="E35" s="18" t="n"/>
      <c r="F35" s="18" t="n"/>
      <c r="G35" s="18" t="n"/>
      <c r="H35" s="18" t="n"/>
      <c r="I35" s="18" t="n"/>
      <c r="J35" s="18" t="n"/>
      <c r="K35" s="18" t="n"/>
      <c r="L35" s="18" t="n"/>
      <c r="M35" s="18" t="n"/>
    </row>
    <row r="36" ht="21.75" customHeight="1">
      <c r="A36" s="18" t="n"/>
      <c r="B36" s="18" t="n"/>
      <c r="C36" s="18" t="n"/>
      <c r="D36" s="18" t="n"/>
      <c r="E36" s="18" t="n"/>
      <c r="F36" s="18" t="n"/>
      <c r="G36" s="18" t="n"/>
      <c r="H36" s="18" t="n"/>
      <c r="I36" s="18" t="n"/>
      <c r="J36" s="18" t="n"/>
      <c r="K36" s="18" t="n"/>
      <c r="L36" s="18" t="n"/>
      <c r="M36" s="18" t="n"/>
    </row>
    <row r="37" ht="21.75" customHeight="1">
      <c r="A37" s="18" t="n"/>
      <c r="B37" s="18" t="n"/>
      <c r="C37" s="18" t="n"/>
      <c r="D37" s="18" t="n"/>
      <c r="E37" s="18" t="n"/>
      <c r="F37" s="18" t="n"/>
      <c r="G37" s="18" t="n"/>
      <c r="H37" s="18" t="n"/>
      <c r="I37" s="18" t="n"/>
      <c r="J37" s="18" t="n"/>
      <c r="K37" s="18" t="n"/>
      <c r="L37" s="18" t="n"/>
      <c r="M37" s="18" t="n"/>
    </row>
    <row r="38" ht="21.75" customHeight="1">
      <c r="A38" s="18" t="n"/>
      <c r="B38" s="18" t="n"/>
      <c r="C38" s="18" t="n"/>
      <c r="D38" s="18" t="n"/>
      <c r="E38" s="18" t="n"/>
      <c r="F38" s="18" t="n"/>
      <c r="G38" s="18" t="n"/>
      <c r="H38" s="18" t="n"/>
      <c r="I38" s="18" t="n"/>
      <c r="J38" s="18" t="n"/>
      <c r="K38" s="18" t="n"/>
      <c r="L38" s="18" t="n"/>
      <c r="M38" s="18" t="n"/>
    </row>
    <row r="39" ht="21.75" customHeight="1">
      <c r="A39" s="18" t="n"/>
      <c r="B39" s="18" t="n"/>
      <c r="C39" s="18" t="n"/>
      <c r="D39" s="18" t="n"/>
      <c r="E39" s="18" t="n"/>
      <c r="F39" s="18" t="n"/>
      <c r="G39" s="18" t="n"/>
      <c r="H39" s="18" t="n"/>
      <c r="I39" s="18" t="n"/>
      <c r="J39" s="18" t="n"/>
      <c r="K39" s="18" t="n"/>
      <c r="L39" s="18" t="n"/>
      <c r="M39" s="18" t="n"/>
    </row>
    <row r="40" ht="21.75" customHeight="1">
      <c r="A40" s="18" t="n"/>
      <c r="B40" s="18" t="n"/>
      <c r="C40" s="18" t="n"/>
      <c r="D40" s="18" t="n"/>
      <c r="E40" s="18" t="n"/>
      <c r="F40" s="18" t="n"/>
      <c r="G40" s="18" t="n"/>
      <c r="H40" s="18" t="n"/>
      <c r="I40" s="18" t="n"/>
      <c r="J40" s="18" t="n"/>
      <c r="K40" s="18" t="n"/>
      <c r="L40" s="18" t="n"/>
      <c r="M40" s="18" t="n"/>
    </row>
    <row r="41" ht="21.75" customHeight="1">
      <c r="A41" s="18" t="n"/>
      <c r="B41" s="18" t="n"/>
      <c r="C41" s="18" t="n"/>
      <c r="D41" s="18" t="n"/>
      <c r="E41" s="18" t="n"/>
      <c r="F41" s="18" t="n"/>
      <c r="G41" s="18" t="n"/>
      <c r="H41" s="18" t="n"/>
      <c r="I41" s="18" t="n"/>
      <c r="J41" s="18" t="n"/>
      <c r="K41" s="18" t="n"/>
      <c r="L41" s="18" t="n"/>
      <c r="M41" s="18" t="n"/>
    </row>
    <row r="42" ht="21.75" customHeight="1">
      <c r="A42" s="18" t="n"/>
      <c r="B42" s="18" t="n"/>
      <c r="C42" s="18" t="n"/>
      <c r="D42" s="18" t="n"/>
      <c r="E42" s="18" t="n"/>
      <c r="F42" s="18" t="n"/>
      <c r="G42" s="18" t="n"/>
      <c r="H42" s="18" t="n"/>
      <c r="I42" s="18" t="n"/>
      <c r="J42" s="18" t="n"/>
      <c r="K42" s="18" t="n"/>
      <c r="L42" s="18" t="n"/>
      <c r="M42" s="18" t="n"/>
    </row>
    <row r="43" ht="21.75" customHeight="1">
      <c r="A43" s="18" t="n"/>
      <c r="B43" s="18" t="n"/>
      <c r="C43" s="18" t="n"/>
      <c r="D43" s="18" t="n"/>
      <c r="E43" s="18" t="n"/>
      <c r="F43" s="18" t="n"/>
      <c r="G43" s="18" t="n"/>
      <c r="H43" s="18" t="n"/>
      <c r="I43" s="18" t="n"/>
      <c r="J43" s="18" t="n"/>
      <c r="K43" s="18" t="n"/>
      <c r="L43" s="18" t="n"/>
      <c r="M43" s="18" t="n"/>
    </row>
    <row r="44" ht="21.75" customHeight="1">
      <c r="A44" s="18" t="n"/>
      <c r="B44" s="18" t="n"/>
      <c r="C44" s="18" t="n"/>
      <c r="D44" s="18" t="n"/>
      <c r="E44" s="18" t="n"/>
      <c r="F44" s="18" t="n"/>
      <c r="G44" s="18" t="n"/>
      <c r="H44" s="18" t="n"/>
      <c r="I44" s="18" t="n"/>
      <c r="J44" s="18" t="n"/>
      <c r="K44" s="18" t="n"/>
      <c r="L44" s="18" t="n"/>
      <c r="M44" s="18" t="n"/>
    </row>
    <row r="45" ht="21.75" customHeight="1">
      <c r="A45" s="18" t="n"/>
      <c r="B45" s="18" t="n"/>
      <c r="C45" s="18" t="n"/>
      <c r="D45" s="18" t="n"/>
      <c r="E45" s="18" t="n"/>
      <c r="F45" s="18" t="n"/>
      <c r="G45" s="18" t="n"/>
      <c r="H45" s="18" t="n"/>
      <c r="I45" s="18" t="n"/>
      <c r="J45" s="18" t="n"/>
      <c r="K45" s="18" t="n"/>
      <c r="L45" s="18" t="n"/>
      <c r="M45" s="18" t="n"/>
    </row>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dataValidations count="2">
    <dataValidation sqref="B6:B1000" showDropDown="0" showInputMessage="1" showErrorMessage="1" allowBlank="1" prompt="Escolha uma opção cadastrada." type="list">
      <formula1>'Exercícios'!$A$6:$A$1000</formula1>
    </dataValidation>
    <dataValidation sqref="L6:L27" showDropDown="0" showInputMessage="0" showErrorMessage="0" allowBlank="1" type="list">
      <formula1>"A revisar,Aprovado,Trocar,Reduzir volume"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6"/>
  <sheetViews>
    <sheetView showGridLines="0" workbookViewId="0">
      <selection activeCell="A1" sqref="A1"/>
    </sheetView>
  </sheetViews>
  <sheetFormatPr baseColWidth="8" defaultRowHeight="15"/>
  <cols>
    <col width="14.02" customWidth="1" min="1" max="1"/>
    <col width="15.03" customWidth="1" min="2" max="2"/>
    <col width="32.96" customWidth="1" min="3" max="3"/>
    <col width="29.05" customWidth="1" min="4" max="4"/>
    <col width="13.01" customWidth="1" min="5" max="5"/>
    <col width="10.99" customWidth="1" min="6" max="6"/>
    <col width="13.01" customWidth="1" min="7" max="7"/>
    <col width="10.99" customWidth="1" min="8" max="8"/>
    <col width="13.01" customWidth="1" min="9" max="9"/>
    <col width="10.99" customWidth="1" min="10" max="10"/>
    <col width="13.01" customWidth="1" min="11" max="11"/>
    <col width="10.99" customWidth="1" min="12" max="12"/>
    <col width="14.02" customWidth="1" min="13" max="13"/>
    <col width="18.06" customWidth="1" min="14" max="14"/>
    <col width="12" customWidth="1" min="15" max="15"/>
    <col width="12" customWidth="1" min="16" max="16"/>
    <col width="55.95"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s>
  <sheetData>
    <row r="1" ht="21.75" customHeight="1">
      <c r="A1" s="18" t="n"/>
      <c r="B1" s="18" t="n"/>
      <c r="C1" s="18" t="n"/>
      <c r="D1" s="18" t="n"/>
      <c r="E1" s="18" t="n"/>
      <c r="F1" s="18" t="n"/>
      <c r="G1" s="18" t="n"/>
      <c r="H1" s="18" t="n"/>
      <c r="I1" s="18" t="n"/>
      <c r="J1" s="18" t="n"/>
      <c r="K1" s="18" t="n"/>
      <c r="L1" s="18" t="n"/>
      <c r="M1" s="18" t="n"/>
      <c r="N1" s="18" t="n"/>
      <c r="O1" s="18" t="n"/>
      <c r="P1" s="18" t="n"/>
      <c r="Q1" s="18" t="n"/>
    </row>
    <row r="2" ht="21.75" customHeight="1">
      <c r="A2" s="19" t="inlineStr">
        <is>
          <t>Registro por exercício e sessão</t>
        </is>
      </c>
      <c r="B2" s="18" t="n"/>
      <c r="C2" s="18" t="n"/>
      <c r="D2" s="18" t="n"/>
      <c r="E2" s="18" t="n"/>
      <c r="F2" s="18" t="n"/>
      <c r="G2" s="18" t="n"/>
      <c r="H2" s="18" t="n"/>
      <c r="I2" s="18" t="n"/>
      <c r="J2" s="18" t="n"/>
      <c r="K2" s="18" t="n"/>
      <c r="L2" s="18" t="n"/>
      <c r="M2" s="18" t="n"/>
      <c r="N2" s="18" t="n"/>
      <c r="O2" s="18" t="n"/>
      <c r="P2" s="18" t="n"/>
      <c r="Q2" s="18" t="n"/>
    </row>
    <row r="3" ht="21.75" customHeight="1">
      <c r="A3" s="20" t="inlineStr">
        <is>
          <t>Aquecimento e feeder preservados; volume e progressão só com Work 1 + Work 2. Salvar parcial permite retomar.</t>
        </is>
      </c>
      <c r="B3" s="18" t="n"/>
      <c r="C3" s="18" t="n"/>
      <c r="D3" s="18" t="n"/>
      <c r="E3" s="18" t="n"/>
      <c r="F3" s="18" t="n"/>
      <c r="G3" s="18" t="n"/>
      <c r="H3" s="18" t="n"/>
      <c r="I3" s="18" t="n"/>
      <c r="J3" s="18" t="n"/>
      <c r="K3" s="18" t="n"/>
      <c r="L3" s="18" t="n"/>
      <c r="M3" s="18" t="n"/>
      <c r="N3" s="18" t="n"/>
      <c r="O3" s="18" t="n"/>
      <c r="P3" s="18" t="n"/>
      <c r="Q3" s="18" t="n"/>
    </row>
    <row r="4" ht="21.75" customHeight="1">
      <c r="A4" s="18" t="n"/>
      <c r="B4" s="18" t="n"/>
      <c r="C4" s="18" t="n"/>
      <c r="D4" s="18" t="n"/>
      <c r="E4" s="18" t="n"/>
      <c r="F4" s="18" t="n"/>
      <c r="G4" s="18" t="n"/>
      <c r="H4" s="18" t="n"/>
      <c r="I4" s="18" t="n"/>
      <c r="J4" s="18" t="n"/>
      <c r="K4" s="18" t="n"/>
      <c r="L4" s="18" t="n"/>
      <c r="M4" s="18" t="n"/>
      <c r="N4" s="18" t="n"/>
      <c r="O4" s="18" t="n"/>
      <c r="P4" s="18" t="n"/>
      <c r="Q4" s="18" t="n"/>
    </row>
    <row r="5" ht="37.5" customHeight="1">
      <c r="A5" s="31" t="inlineStr">
        <is>
          <t>Data</t>
        </is>
      </c>
      <c r="B5" s="31" t="inlineStr">
        <is>
          <t>Sessão</t>
        </is>
      </c>
      <c r="C5" s="31" t="inlineStr">
        <is>
          <t>Exercício</t>
        </is>
      </c>
      <c r="D5" s="31" t="inlineStr">
        <is>
          <t>Equipamento / carga</t>
        </is>
      </c>
      <c r="E5" s="31" t="inlineStr">
        <is>
          <t>Aquecimento kg</t>
        </is>
      </c>
      <c r="F5" s="31" t="inlineStr">
        <is>
          <t>Aquecimento reps</t>
        </is>
      </c>
      <c r="G5" s="31" t="inlineStr">
        <is>
          <t>Feeder kg</t>
        </is>
      </c>
      <c r="H5" s="31" t="inlineStr">
        <is>
          <t>Feeder reps</t>
        </is>
      </c>
      <c r="I5" s="31" t="inlineStr">
        <is>
          <t>Work 1 kg</t>
        </is>
      </c>
      <c r="J5" s="31" t="inlineStr">
        <is>
          <t>Work 1 reps</t>
        </is>
      </c>
      <c r="K5" s="31" t="inlineStr">
        <is>
          <t>Work 2 kg</t>
        </is>
      </c>
      <c r="L5" s="31" t="inlineStr">
        <is>
          <t>Work 2 reps</t>
        </is>
      </c>
      <c r="M5" s="31" t="inlineStr">
        <is>
          <t>Work sets realizadas</t>
        </is>
      </c>
      <c r="N5" s="31" t="inlineStr">
        <is>
          <t>Volume work kg×reps</t>
        </is>
      </c>
      <c r="O5" s="31" t="inlineStr">
        <is>
          <t>RIR work 2</t>
        </is>
      </c>
      <c r="P5" s="31" t="inlineStr">
        <is>
          <t>Dor 0–10</t>
        </is>
      </c>
      <c r="Q5" s="31" t="inlineStr">
        <is>
          <t>Observação</t>
        </is>
      </c>
      <c r="R5" s="32" t="inlineStr">
        <is>
          <t>Ficha</t>
        </is>
      </c>
      <c r="S5" s="32" t="inlineStr">
        <is>
          <t>Work sets prescritas</t>
        </is>
      </c>
      <c r="T5" s="32" t="inlineStr">
        <is>
          <t>Reps work mín</t>
        </is>
      </c>
      <c r="U5" s="32" t="inlineStr">
        <is>
          <t>Reps work máx</t>
        </is>
      </c>
      <c r="V5" s="32" t="inlineStr">
        <is>
          <t>Fase</t>
        </is>
      </c>
      <c r="W5" s="32" t="inlineStr">
        <is>
          <t>ID sessão</t>
        </is>
      </c>
      <c r="X5" s="32" t="inlineStr">
        <is>
          <t>RIR work 1</t>
        </is>
      </c>
      <c r="Y5" s="32" t="inlineStr">
        <is>
          <t>Estado sessão</t>
        </is>
      </c>
      <c r="Z5" s="32" t="inlineStr">
        <is>
          <t>Modelo de séries</t>
        </is>
      </c>
      <c r="AA5" t="inlineStr">
        <is>
          <t>Objetivo</t>
        </is>
      </c>
    </row>
    <row r="6" ht="21.75" customHeight="1">
      <c r="A6" s="33" t="n"/>
      <c r="B6" s="30" t="n"/>
      <c r="C6" s="30" t="n"/>
      <c r="D6" s="30" t="n"/>
      <c r="E6" s="30" t="n"/>
      <c r="F6" s="30" t="n"/>
      <c r="G6" s="30" t="n"/>
      <c r="H6" s="30" t="n"/>
      <c r="I6" s="30" t="n"/>
      <c r="J6" s="30" t="n"/>
      <c r="K6" s="30" t="n"/>
      <c r="L6" s="30" t="n"/>
      <c r="M6" s="18" t="n"/>
      <c r="N6" s="18" t="n"/>
      <c r="O6" s="30" t="n"/>
      <c r="P6" s="30" t="n"/>
      <c r="Q6" s="30" t="n"/>
      <c r="R6" s="34" t="n"/>
      <c r="S6" s="34" t="n"/>
      <c r="T6" s="34" t="n"/>
      <c r="U6" s="34" t="n"/>
      <c r="V6" s="34" t="n"/>
      <c r="W6" s="34" t="n"/>
      <c r="X6" s="34" t="n"/>
      <c r="Y6" s="34" t="n"/>
      <c r="Z6" s="34" t="n"/>
    </row>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P6">
    <cfRule type="cellIs" priority="1" operator="greaterThan" dxfId="2">
      <formula>0</formula>
    </cfRule>
  </conditionalFormatting>
  <dataValidations count="4">
    <dataValidation sqref="B6" showDropDown="0" showInputMessage="0" showErrorMessage="0" allowBlank="1" type="list">
      <formula1>"Upper,Lower,Full Body"</formula1>
    </dataValidation>
    <dataValidation sqref="C6" showDropDown="0" showInputMessage="0" showErrorMessage="0" allowBlank="1" type="list">
      <formula1>ListaExercicios</formula1>
    </dataValidation>
    <dataValidation sqref="E6:L6" showDropDown="0" showInputMessage="0" showErrorMessage="0" allowBlank="1" type="decimal" operator="between">
      <formula1>0</formula1>
      <formula2>1500</formula2>
    </dataValidation>
    <dataValidation sqref="O6:P6" showDropDown="0" showInputMessage="0" showErrorMessage="0" allowBlank="1" type="decimal" operator="between">
      <formula1>0</formula1>
      <formula2>10</formula2>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9"/>
  <sheetViews>
    <sheetView showGridLines="0" workbookViewId="0">
      <pane ySplit="5" topLeftCell="A6" activePane="bottomLeft" state="frozen"/>
      <selection pane="bottomLeft" activeCell="A1" sqref="A1"/>
    </sheetView>
  </sheetViews>
  <sheetFormatPr baseColWidth="8" defaultRowHeight="15"/>
  <cols>
    <col width="21.98" customWidth="1" min="1" max="1"/>
    <col width="34.99" customWidth="1" min="2" max="2"/>
    <col width="14.02" customWidth="1" min="3" max="3"/>
    <col width="12" customWidth="1" min="4" max="4"/>
    <col width="12" customWidth="1" min="5" max="5"/>
    <col width="14.02" customWidth="1" min="6" max="6"/>
    <col width="16.04" customWidth="1" min="7" max="7"/>
    <col width="14.02" customWidth="1" min="8" max="8"/>
    <col width="12" customWidth="1" min="9" max="9"/>
    <col width="71.98999999999999" customWidth="1" min="10" max="10"/>
    <col width="8.59" customWidth="1" min="11" max="11"/>
    <col width="8.59" customWidth="1" min="12" max="12"/>
    <col width="8.59" customWidth="1" min="13" max="13"/>
    <col width="8.59" customWidth="1" min="14" max="14"/>
    <col width="8.59"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s>
  <sheetData>
    <row r="1" ht="21.75" customHeight="1">
      <c r="A1" s="18" t="n"/>
      <c r="B1" s="18" t="n"/>
      <c r="C1" s="18" t="n"/>
      <c r="D1" s="18" t="n"/>
      <c r="E1" s="18" t="n"/>
      <c r="F1" s="18" t="n"/>
      <c r="G1" s="18" t="n"/>
      <c r="H1" s="18" t="n"/>
      <c r="I1" s="18" t="n"/>
      <c r="J1" s="18" t="n"/>
    </row>
    <row r="2" ht="21.75" customHeight="1">
      <c r="A2" s="19" t="inlineStr">
        <is>
          <t>Dieta base com porções revisáveis</t>
        </is>
      </c>
      <c r="B2" s="18" t="n"/>
      <c r="C2" s="18" t="n"/>
      <c r="D2" s="18" t="n"/>
      <c r="E2" s="18" t="n"/>
      <c r="F2" s="18" t="n"/>
      <c r="G2" s="18" t="n"/>
      <c r="H2" s="18" t="n"/>
      <c r="I2" s="18" t="n"/>
      <c r="J2" s="18" t="n"/>
    </row>
    <row r="3" ht="21.75" customHeight="1">
      <c r="A3" s="20" t="inlineStr">
        <is>
          <t>Plano alimentar de referência. Os totais são a dieta planejada, não a ingestão realizada.</t>
        </is>
      </c>
      <c r="B3" s="18" t="n"/>
      <c r="C3" s="18" t="n"/>
      <c r="D3" s="18" t="n"/>
      <c r="E3" s="18" t="n"/>
      <c r="F3" s="18" t="n"/>
      <c r="G3" s="18" t="n"/>
      <c r="H3" s="18" t="n"/>
      <c r="I3" s="18" t="n"/>
      <c r="J3" s="18" t="n"/>
    </row>
    <row r="4" ht="21.75" customHeight="1">
      <c r="A4" s="18" t="n"/>
      <c r="B4" s="18" t="n"/>
      <c r="C4" s="18" t="n"/>
      <c r="D4" s="18" t="n"/>
      <c r="E4" s="18" t="n"/>
      <c r="F4" s="18" t="n"/>
      <c r="G4" s="18" t="n"/>
      <c r="H4" s="18" t="n"/>
      <c r="I4" s="18" t="n"/>
      <c r="J4" s="18" t="n"/>
    </row>
    <row r="5" ht="37.5" customHeight="1">
      <c r="A5" s="21" t="inlineStr">
        <is>
          <t>Refeição</t>
        </is>
      </c>
      <c r="B5" s="21" t="inlineStr">
        <is>
          <t>Alimento</t>
        </is>
      </c>
      <c r="C5" s="21" t="inlineStr">
        <is>
          <t>Quantidade</t>
        </is>
      </c>
      <c r="D5" s="21" t="inlineStr">
        <is>
          <t>Unidade</t>
        </is>
      </c>
      <c r="E5" s="21" t="inlineStr">
        <is>
          <t>kcal</t>
        </is>
      </c>
      <c r="F5" s="21" t="inlineStr">
        <is>
          <t>Proteína g</t>
        </is>
      </c>
      <c r="G5" s="21" t="inlineStr">
        <is>
          <t>Carboidrato g</t>
        </is>
      </c>
      <c r="H5" s="21" t="inlineStr">
        <is>
          <t>Gordura g</t>
        </is>
      </c>
      <c r="I5" s="21" t="inlineStr">
        <is>
          <t>Fibra g</t>
        </is>
      </c>
      <c r="J5" s="21" t="inlineStr">
        <is>
          <t>Adaptação / observação</t>
        </is>
      </c>
    </row>
    <row r="6" ht="21.75" customHeight="1">
      <c r="A6" s="30" t="inlineStr">
        <is>
          <t>Café da manhã</t>
        </is>
      </c>
      <c r="B6" s="30" t="inlineStr">
        <is>
          <t>Ovo inteiro cru</t>
        </is>
      </c>
      <c r="C6" s="35" t="n">
        <v>150</v>
      </c>
      <c r="D6" s="29">
        <f>VLOOKUP(B6,Alimentos!$A:$L,2,FALSE)</f>
        <v/>
      </c>
      <c r="E6" s="29">
        <f>C6/VLOOKUP(B6,Alimentos!$A:$L,3,FALSE)*VLOOKUP(B6,Alimentos!$A:$L,4,FALSE)</f>
        <v/>
      </c>
      <c r="F6" s="29">
        <f>C6/VLOOKUP(B6,Alimentos!$A:$L,3,FALSE)*VLOOKUP(B6,Alimentos!$A:$L,5,FALSE)</f>
        <v/>
      </c>
      <c r="G6" s="29">
        <f>C6/VLOOKUP(B6,Alimentos!$A:$L,3,FALSE)*VLOOKUP(B6,Alimentos!$A:$L,6,FALSE)</f>
        <v/>
      </c>
      <c r="H6" s="29">
        <f>C6/VLOOKUP(B6,Alimentos!$A:$L,3,FALSE)*VLOOKUP(B6,Alimentos!$A:$L,7,FALSE)</f>
        <v/>
      </c>
      <c r="I6" s="29">
        <f>C6/VLOOKUP(B6,Alimentos!$A:$L,3,FALSE)*VLOOKUP(B6,Alimentos!$A:$L,8,FALSE)</f>
        <v/>
      </c>
      <c r="J6" s="30" t="inlineStr">
        <is>
          <t>3 ovos médios; pesar cru na balança sem casca</t>
        </is>
      </c>
    </row>
    <row r="7" ht="21.75" customHeight="1">
      <c r="A7" s="30" t="inlineStr">
        <is>
          <t>Café da manhã</t>
        </is>
      </c>
      <c r="B7" s="30" t="inlineStr">
        <is>
          <t>Margarina (estimativa)</t>
        </is>
      </c>
      <c r="C7" s="35" t="n">
        <v>5</v>
      </c>
      <c r="D7" s="29">
        <f>VLOOKUP(B7,Alimentos!$A:$L,2,FALSE)</f>
        <v/>
      </c>
      <c r="E7" s="29">
        <f>C7/VLOOKUP(B7,Alimentos!$A:$L,3,FALSE)*VLOOKUP(B7,Alimentos!$A:$L,4,FALSE)</f>
        <v/>
      </c>
      <c r="F7" s="29">
        <f>C7/VLOOKUP(B7,Alimentos!$A:$L,3,FALSE)*VLOOKUP(B7,Alimentos!$A:$L,5,FALSE)</f>
        <v/>
      </c>
      <c r="G7" s="29">
        <f>C7/VLOOKUP(B7,Alimentos!$A:$L,3,FALSE)*VLOOKUP(B7,Alimentos!$A:$L,6,FALSE)</f>
        <v/>
      </c>
      <c r="H7" s="29">
        <f>C7/VLOOKUP(B7,Alimentos!$A:$L,3,FALSE)*VLOOKUP(B7,Alimentos!$A:$L,7,FALSE)</f>
        <v/>
      </c>
      <c r="I7" s="29">
        <f>C7/VLOOKUP(B7,Alimentos!$A:$L,3,FALSE)*VLOOKUP(B7,Alimentos!$A:$L,8,FALSE)</f>
        <v/>
      </c>
      <c r="J7" s="30" t="inlineStr">
        <is>
          <t>Gordura de preparo dos ovos na frigideira</t>
        </is>
      </c>
    </row>
    <row r="8" ht="21.75" customHeight="1">
      <c r="A8" s="30" t="inlineStr">
        <is>
          <t>Café da manhã</t>
        </is>
      </c>
      <c r="B8" s="30" t="inlineStr">
        <is>
          <t>Pão integral</t>
        </is>
      </c>
      <c r="C8" s="35" t="n">
        <v>50</v>
      </c>
      <c r="D8" s="29">
        <f>VLOOKUP(B8,Alimentos!$A:$L,2,FALSE)</f>
        <v/>
      </c>
      <c r="E8" s="29">
        <f>C8/VLOOKUP(B8,Alimentos!$A:$L,3,FALSE)*VLOOKUP(B8,Alimentos!$A:$L,4,FALSE)</f>
        <v/>
      </c>
      <c r="F8" s="29">
        <f>C8/VLOOKUP(B8,Alimentos!$A:$L,3,FALSE)*VLOOKUP(B8,Alimentos!$A:$L,5,FALSE)</f>
        <v/>
      </c>
      <c r="G8" s="29">
        <f>C8/VLOOKUP(B8,Alimentos!$A:$L,3,FALSE)*VLOOKUP(B8,Alimentos!$A:$L,6,FALSE)</f>
        <v/>
      </c>
      <c r="H8" s="29">
        <f>C8/VLOOKUP(B8,Alimentos!$A:$L,3,FALSE)*VLOOKUP(B8,Alimentos!$A:$L,7,FALSE)</f>
        <v/>
      </c>
      <c r="I8" s="29">
        <f>C8/VLOOKUP(B8,Alimentos!$A:$L,3,FALSE)*VLOOKUP(B8,Alimentos!$A:$L,8,FALSE)</f>
        <v/>
      </c>
      <c r="J8" s="30" t="inlineStr">
        <is>
          <t>Cerca de 2 fatias</t>
        </is>
      </c>
    </row>
    <row r="9" ht="21.75" customHeight="1">
      <c r="A9" s="30" t="inlineStr">
        <is>
          <t>Café da manhã</t>
        </is>
      </c>
      <c r="B9" s="30" t="inlineStr">
        <is>
          <t>Banana nanica</t>
        </is>
      </c>
      <c r="C9" s="35" t="n">
        <v>100</v>
      </c>
      <c r="D9" s="29">
        <f>VLOOKUP(B9,Alimentos!$A:$L,2,FALSE)</f>
        <v/>
      </c>
      <c r="E9" s="29">
        <f>C9/VLOOKUP(B9,Alimentos!$A:$L,3,FALSE)*VLOOKUP(B9,Alimentos!$A:$L,4,FALSE)</f>
        <v/>
      </c>
      <c r="F9" s="29">
        <f>C9/VLOOKUP(B9,Alimentos!$A:$L,3,FALSE)*VLOOKUP(B9,Alimentos!$A:$L,5,FALSE)</f>
        <v/>
      </c>
      <c r="G9" s="29">
        <f>C9/VLOOKUP(B9,Alimentos!$A:$L,3,FALSE)*VLOOKUP(B9,Alimentos!$A:$L,6,FALSE)</f>
        <v/>
      </c>
      <c r="H9" s="29">
        <f>C9/VLOOKUP(B9,Alimentos!$A:$L,3,FALSE)*VLOOKUP(B9,Alimentos!$A:$L,7,FALSE)</f>
        <v/>
      </c>
      <c r="I9" s="29">
        <f>C9/VLOOKUP(B9,Alimentos!$A:$L,3,FALSE)*VLOOKUP(B9,Alimentos!$A:$L,8,FALSE)</f>
        <v/>
      </c>
      <c r="J9" s="30" t="n"/>
    </row>
    <row r="10" ht="21.75" customHeight="1">
      <c r="A10" s="30" t="inlineStr">
        <is>
          <t>Café da manhã</t>
        </is>
      </c>
      <c r="B10" s="30" t="inlineStr">
        <is>
          <t>Queijo minas frescal</t>
        </is>
      </c>
      <c r="C10" s="35" t="n">
        <v>20</v>
      </c>
      <c r="D10" s="29">
        <f>VLOOKUP(B10,Alimentos!$A:$L,2,FALSE)</f>
        <v/>
      </c>
      <c r="E10" s="29">
        <f>C10/VLOOKUP(B10,Alimentos!$A:$L,3,FALSE)*VLOOKUP(B10,Alimentos!$A:$L,4,FALSE)</f>
        <v/>
      </c>
      <c r="F10" s="29">
        <f>C10/VLOOKUP(B10,Alimentos!$A:$L,3,FALSE)*VLOOKUP(B10,Alimentos!$A:$L,5,FALSE)</f>
        <v/>
      </c>
      <c r="G10" s="29">
        <f>C10/VLOOKUP(B10,Alimentos!$A:$L,3,FALSE)*VLOOKUP(B10,Alimentos!$A:$L,6,FALSE)</f>
        <v/>
      </c>
      <c r="H10" s="29">
        <f>C10/VLOOKUP(B10,Alimentos!$A:$L,3,FALSE)*VLOOKUP(B10,Alimentos!$A:$L,7,FALSE)</f>
        <v/>
      </c>
      <c r="I10" s="29">
        <f>C10/VLOOKUP(B10,Alimentos!$A:$L,3,FALSE)*VLOOKUP(B10,Alimentos!$A:$L,8,FALSE)</f>
        <v/>
      </c>
      <c r="J10" s="30" t="n"/>
    </row>
    <row r="11" ht="21.75" customHeight="1">
      <c r="A11" s="30" t="inlineStr">
        <is>
          <t>Café da manhã</t>
        </is>
      </c>
      <c r="B11" s="30" t="inlineStr">
        <is>
          <t>Leite integral (estimativa)</t>
        </is>
      </c>
      <c r="C11" s="35" t="n">
        <v>200</v>
      </c>
      <c r="D11" s="29">
        <f>VLOOKUP(B11,Alimentos!$A:$L,2,FALSE)</f>
        <v/>
      </c>
      <c r="E11" s="29">
        <f>C11/VLOOKUP(B11,Alimentos!$A:$L,3,FALSE)*VLOOKUP(B11,Alimentos!$A:$L,4,FALSE)</f>
        <v/>
      </c>
      <c r="F11" s="29">
        <f>C11/VLOOKUP(B11,Alimentos!$A:$L,3,FALSE)*VLOOKUP(B11,Alimentos!$A:$L,5,FALSE)</f>
        <v/>
      </c>
      <c r="G11" s="29">
        <f>C11/VLOOKUP(B11,Alimentos!$A:$L,3,FALSE)*VLOOKUP(B11,Alimentos!$A:$L,6,FALSE)</f>
        <v/>
      </c>
      <c r="H11" s="29">
        <f>C11/VLOOKUP(B11,Alimentos!$A:$L,3,FALSE)*VLOOKUP(B11,Alimentos!$A:$L,7,FALSE)</f>
        <v/>
      </c>
      <c r="I11" s="29">
        <f>C11/VLOOKUP(B11,Alimentos!$A:$L,3,FALSE)*VLOOKUP(B11,Alimentos!$A:$L,8,FALSE)</f>
        <v/>
      </c>
      <c r="J11" s="30" t="n"/>
    </row>
    <row r="12" ht="21.75" customHeight="1">
      <c r="A12" s="30" t="inlineStr">
        <is>
          <t>Almoço</t>
        </is>
      </c>
      <c r="B12" s="30" t="inlineStr">
        <is>
          <t>Arroz branco cozido</t>
        </is>
      </c>
      <c r="C12" s="35" t="n">
        <v>200</v>
      </c>
      <c r="D12" s="29">
        <f>VLOOKUP(B12,Alimentos!$A:$L,2,FALSE)</f>
        <v/>
      </c>
      <c r="E12" s="29">
        <f>C12/VLOOKUP(B12,Alimentos!$A:$L,3,FALSE)*VLOOKUP(B12,Alimentos!$A:$L,4,FALSE)</f>
        <v/>
      </c>
      <c r="F12" s="29">
        <f>C12/VLOOKUP(B12,Alimentos!$A:$L,3,FALSE)*VLOOKUP(B12,Alimentos!$A:$L,5,FALSE)</f>
        <v/>
      </c>
      <c r="G12" s="29">
        <f>C12/VLOOKUP(B12,Alimentos!$A:$L,3,FALSE)*VLOOKUP(B12,Alimentos!$A:$L,6,FALSE)</f>
        <v/>
      </c>
      <c r="H12" s="29">
        <f>C12/VLOOKUP(B12,Alimentos!$A:$L,3,FALSE)*VLOOKUP(B12,Alimentos!$A:$L,7,FALSE)</f>
        <v/>
      </c>
      <c r="I12" s="29">
        <f>C12/VLOOKUP(B12,Alimentos!$A:$L,3,FALSE)*VLOOKUP(B12,Alimentos!$A:$L,8,FALSE)</f>
        <v/>
      </c>
      <c r="J12" s="30" t="inlineStr">
        <is>
          <t>Porção ajustada para aproximar o total de 2.400 kcal</t>
        </is>
      </c>
    </row>
    <row r="13" ht="21.75" customHeight="1">
      <c r="A13" s="30" t="inlineStr">
        <is>
          <t>Almoço</t>
        </is>
      </c>
      <c r="B13" s="30" t="inlineStr">
        <is>
          <t>Feijão carioca cozido</t>
        </is>
      </c>
      <c r="C13" s="35" t="n">
        <v>100</v>
      </c>
      <c r="D13" s="29">
        <f>VLOOKUP(B13,Alimentos!$A:$L,2,FALSE)</f>
        <v/>
      </c>
      <c r="E13" s="29">
        <f>C13/VLOOKUP(B13,Alimentos!$A:$L,3,FALSE)*VLOOKUP(B13,Alimentos!$A:$L,4,FALSE)</f>
        <v/>
      </c>
      <c r="F13" s="29">
        <f>C13/VLOOKUP(B13,Alimentos!$A:$L,3,FALSE)*VLOOKUP(B13,Alimentos!$A:$L,5,FALSE)</f>
        <v/>
      </c>
      <c r="G13" s="29">
        <f>C13/VLOOKUP(B13,Alimentos!$A:$L,3,FALSE)*VLOOKUP(B13,Alimentos!$A:$L,6,FALSE)</f>
        <v/>
      </c>
      <c r="H13" s="29">
        <f>C13/VLOOKUP(B13,Alimentos!$A:$L,3,FALSE)*VLOOKUP(B13,Alimentos!$A:$L,7,FALSE)</f>
        <v/>
      </c>
      <c r="I13" s="29">
        <f>C13/VLOOKUP(B13,Alimentos!$A:$L,3,FALSE)*VLOOKUP(B13,Alimentos!$A:$L,8,FALSE)</f>
        <v/>
      </c>
      <c r="J13" s="30" t="n"/>
    </row>
    <row r="14" ht="21.75" customHeight="1">
      <c r="A14" s="30" t="inlineStr">
        <is>
          <t>Almoço</t>
        </is>
      </c>
      <c r="B14" s="30" t="inlineStr">
        <is>
          <t>Peito de frango cozido</t>
        </is>
      </c>
      <c r="C14" s="35" t="n">
        <v>100</v>
      </c>
      <c r="D14" s="29">
        <f>VLOOKUP(B14,Alimentos!$A:$L,2,FALSE)</f>
        <v/>
      </c>
      <c r="E14" s="29">
        <f>C14/VLOOKUP(B14,Alimentos!$A:$L,3,FALSE)*VLOOKUP(B14,Alimentos!$A:$L,4,FALSE)</f>
        <v/>
      </c>
      <c r="F14" s="29">
        <f>C14/VLOOKUP(B14,Alimentos!$A:$L,3,FALSE)*VLOOKUP(B14,Alimentos!$A:$L,5,FALSE)</f>
        <v/>
      </c>
      <c r="G14" s="29">
        <f>C14/VLOOKUP(B14,Alimentos!$A:$L,3,FALSE)*VLOOKUP(B14,Alimentos!$A:$L,6,FALSE)</f>
        <v/>
      </c>
      <c r="H14" s="29">
        <f>C14/VLOOKUP(B14,Alimentos!$A:$L,3,FALSE)*VLOOKUP(B14,Alimentos!$A:$L,7,FALSE)</f>
        <v/>
      </c>
      <c r="I14" s="29">
        <f>C14/VLOOKUP(B14,Alimentos!$A:$L,3,FALSE)*VLOOKUP(B14,Alimentos!$A:$L,8,FALSE)</f>
        <v/>
      </c>
      <c r="J14" s="30" t="inlineStr">
        <is>
          <t>Ajustado de 130–150 g para evitar excesso na soma do dia</t>
        </is>
      </c>
    </row>
    <row r="15" ht="21.75" customHeight="1">
      <c r="A15" s="30" t="inlineStr">
        <is>
          <t>Almoço</t>
        </is>
      </c>
      <c r="B15" s="30" t="inlineStr">
        <is>
          <t>Cenoura cozida</t>
        </is>
      </c>
      <c r="C15" s="35" t="n">
        <v>100</v>
      </c>
      <c r="D15" s="29">
        <f>VLOOKUP(B15,Alimentos!$A:$L,2,FALSE)</f>
        <v/>
      </c>
      <c r="E15" s="29">
        <f>C15/VLOOKUP(B15,Alimentos!$A:$L,3,FALSE)*VLOOKUP(B15,Alimentos!$A:$L,4,FALSE)</f>
        <v/>
      </c>
      <c r="F15" s="29">
        <f>C15/VLOOKUP(B15,Alimentos!$A:$L,3,FALSE)*VLOOKUP(B15,Alimentos!$A:$L,5,FALSE)</f>
        <v/>
      </c>
      <c r="G15" s="29">
        <f>C15/VLOOKUP(B15,Alimentos!$A:$L,3,FALSE)*VLOOKUP(B15,Alimentos!$A:$L,6,FALSE)</f>
        <v/>
      </c>
      <c r="H15" s="29">
        <f>C15/VLOOKUP(B15,Alimentos!$A:$L,3,FALSE)*VLOOKUP(B15,Alimentos!$A:$L,7,FALSE)</f>
        <v/>
      </c>
      <c r="I15" s="29">
        <f>C15/VLOOKUP(B15,Alimentos!$A:$L,3,FALSE)*VLOOKUP(B15,Alimentos!$A:$L,8,FALSE)</f>
        <v/>
      </c>
      <c r="J15" s="30" t="inlineStr">
        <is>
          <t>Exemplo de legumes</t>
        </is>
      </c>
    </row>
    <row r="16" ht="21.75" customHeight="1">
      <c r="A16" s="30" t="inlineStr">
        <is>
          <t>Almoço</t>
        </is>
      </c>
      <c r="B16" s="30" t="inlineStr">
        <is>
          <t>Alface crua</t>
        </is>
      </c>
      <c r="C16" s="35" t="n">
        <v>50</v>
      </c>
      <c r="D16" s="29">
        <f>VLOOKUP(B16,Alimentos!$A:$L,2,FALSE)</f>
        <v/>
      </c>
      <c r="E16" s="29">
        <f>C16/VLOOKUP(B16,Alimentos!$A:$L,3,FALSE)*VLOOKUP(B16,Alimentos!$A:$L,4,FALSE)</f>
        <v/>
      </c>
      <c r="F16" s="29">
        <f>C16/VLOOKUP(B16,Alimentos!$A:$L,3,FALSE)*VLOOKUP(B16,Alimentos!$A:$L,5,FALSE)</f>
        <v/>
      </c>
      <c r="G16" s="29">
        <f>C16/VLOOKUP(B16,Alimentos!$A:$L,3,FALSE)*VLOOKUP(B16,Alimentos!$A:$L,6,FALSE)</f>
        <v/>
      </c>
      <c r="H16" s="29">
        <f>C16/VLOOKUP(B16,Alimentos!$A:$L,3,FALSE)*VLOOKUP(B16,Alimentos!$A:$L,7,FALSE)</f>
        <v/>
      </c>
      <c r="I16" s="29">
        <f>C16/VLOOKUP(B16,Alimentos!$A:$L,3,FALSE)*VLOOKUP(B16,Alimentos!$A:$L,8,FALSE)</f>
        <v/>
      </c>
      <c r="J16" s="30" t="n"/>
    </row>
    <row r="17" ht="21.75" customHeight="1">
      <c r="A17" s="30" t="inlineStr">
        <is>
          <t>Almoço</t>
        </is>
      </c>
      <c r="B17" s="30" t="inlineStr">
        <is>
          <t>Azeite</t>
        </is>
      </c>
      <c r="C17" s="35" t="n">
        <v>10</v>
      </c>
      <c r="D17" s="29">
        <f>VLOOKUP(B17,Alimentos!$A:$L,2,FALSE)</f>
        <v/>
      </c>
      <c r="E17" s="29">
        <f>C17/VLOOKUP(B17,Alimentos!$A:$L,3,FALSE)*VLOOKUP(B17,Alimentos!$A:$L,4,FALSE)</f>
        <v/>
      </c>
      <c r="F17" s="29">
        <f>C17/VLOOKUP(B17,Alimentos!$A:$L,3,FALSE)*VLOOKUP(B17,Alimentos!$A:$L,5,FALSE)</f>
        <v/>
      </c>
      <c r="G17" s="29">
        <f>C17/VLOOKUP(B17,Alimentos!$A:$L,3,FALSE)*VLOOKUP(B17,Alimentos!$A:$L,6,FALSE)</f>
        <v/>
      </c>
      <c r="H17" s="29">
        <f>C17/VLOOKUP(B17,Alimentos!$A:$L,3,FALSE)*VLOOKUP(B17,Alimentos!$A:$L,7,FALSE)</f>
        <v/>
      </c>
      <c r="I17" s="29">
        <f>C17/VLOOKUP(B17,Alimentos!$A:$L,3,FALSE)*VLOOKUP(B17,Alimentos!$A:$L,8,FALSE)</f>
        <v/>
      </c>
      <c r="J17" s="30" t="inlineStr">
        <is>
          <t>Gordura estimada do preparo; não duplicar</t>
        </is>
      </c>
    </row>
    <row r="18" ht="21.75" customHeight="1">
      <c r="A18" s="30" t="inlineStr">
        <is>
          <t>Almoço</t>
        </is>
      </c>
      <c r="B18" s="30" t="inlineStr">
        <is>
          <t>Laranja pera</t>
        </is>
      </c>
      <c r="C18" s="35" t="n">
        <v>150</v>
      </c>
      <c r="D18" s="29">
        <f>VLOOKUP(B18,Alimentos!$A:$L,2,FALSE)</f>
        <v/>
      </c>
      <c r="E18" s="29">
        <f>C18/VLOOKUP(B18,Alimentos!$A:$L,3,FALSE)*VLOOKUP(B18,Alimentos!$A:$L,4,FALSE)</f>
        <v/>
      </c>
      <c r="F18" s="29">
        <f>C18/VLOOKUP(B18,Alimentos!$A:$L,3,FALSE)*VLOOKUP(B18,Alimentos!$A:$L,5,FALSE)</f>
        <v/>
      </c>
      <c r="G18" s="29">
        <f>C18/VLOOKUP(B18,Alimentos!$A:$L,3,FALSE)*VLOOKUP(B18,Alimentos!$A:$L,6,FALSE)</f>
        <v/>
      </c>
      <c r="H18" s="29">
        <f>C18/VLOOKUP(B18,Alimentos!$A:$L,3,FALSE)*VLOOKUP(B18,Alimentos!$A:$L,7,FALSE)</f>
        <v/>
      </c>
      <c r="I18" s="29">
        <f>C18/VLOOKUP(B18,Alimentos!$A:$L,3,FALSE)*VLOOKUP(B18,Alimentos!$A:$L,8,FALSE)</f>
        <v/>
      </c>
      <c r="J18" s="30" t="n"/>
    </row>
    <row r="19" ht="21.75" customHeight="1">
      <c r="A19" s="30" t="inlineStr">
        <is>
          <t>Jantar</t>
        </is>
      </c>
      <c r="B19" s="30" t="inlineStr">
        <is>
          <t>Arroz branco cozido</t>
        </is>
      </c>
      <c r="C19" s="35" t="n">
        <v>200</v>
      </c>
      <c r="D19" s="29">
        <f>VLOOKUP(B19,Alimentos!$A:$L,2,FALSE)</f>
        <v/>
      </c>
      <c r="E19" s="29">
        <f>C19/VLOOKUP(B19,Alimentos!$A:$L,3,FALSE)*VLOOKUP(B19,Alimentos!$A:$L,4,FALSE)</f>
        <v/>
      </c>
      <c r="F19" s="29">
        <f>C19/VLOOKUP(B19,Alimentos!$A:$L,3,FALSE)*VLOOKUP(B19,Alimentos!$A:$L,5,FALSE)</f>
        <v/>
      </c>
      <c r="G19" s="29">
        <f>C19/VLOOKUP(B19,Alimentos!$A:$L,3,FALSE)*VLOOKUP(B19,Alimentos!$A:$L,6,FALSE)</f>
        <v/>
      </c>
      <c r="H19" s="29">
        <f>C19/VLOOKUP(B19,Alimentos!$A:$L,3,FALSE)*VLOOKUP(B19,Alimentos!$A:$L,7,FALSE)</f>
        <v/>
      </c>
      <c r="I19" s="29">
        <f>C19/VLOOKUP(B19,Alimentos!$A:$L,3,FALSE)*VLOOKUP(B19,Alimentos!$A:$L,8,FALSE)</f>
        <v/>
      </c>
      <c r="J19" s="30" t="inlineStr">
        <is>
          <t>Porção ajustada para aproximar o total de 2.400 kcal</t>
        </is>
      </c>
    </row>
    <row r="20" ht="21.75" customHeight="1">
      <c r="A20" s="30" t="inlineStr">
        <is>
          <t>Jantar</t>
        </is>
      </c>
      <c r="B20" s="30" t="inlineStr">
        <is>
          <t>Feijão carioca cozido</t>
        </is>
      </c>
      <c r="C20" s="35" t="n">
        <v>100</v>
      </c>
      <c r="D20" s="29">
        <f>VLOOKUP(B20,Alimentos!$A:$L,2,FALSE)</f>
        <v/>
      </c>
      <c r="E20" s="29">
        <f>C20/VLOOKUP(B20,Alimentos!$A:$L,3,FALSE)*VLOOKUP(B20,Alimentos!$A:$L,4,FALSE)</f>
        <v/>
      </c>
      <c r="F20" s="29">
        <f>C20/VLOOKUP(B20,Alimentos!$A:$L,3,FALSE)*VLOOKUP(B20,Alimentos!$A:$L,5,FALSE)</f>
        <v/>
      </c>
      <c r="G20" s="29">
        <f>C20/VLOOKUP(B20,Alimentos!$A:$L,3,FALSE)*VLOOKUP(B20,Alimentos!$A:$L,6,FALSE)</f>
        <v/>
      </c>
      <c r="H20" s="29">
        <f>C20/VLOOKUP(B20,Alimentos!$A:$L,3,FALSE)*VLOOKUP(B20,Alimentos!$A:$L,7,FALSE)</f>
        <v/>
      </c>
      <c r="I20" s="29">
        <f>C20/VLOOKUP(B20,Alimentos!$A:$L,3,FALSE)*VLOOKUP(B20,Alimentos!$A:$L,8,FALSE)</f>
        <v/>
      </c>
      <c r="J20" s="30" t="n"/>
    </row>
    <row r="21" ht="21.75" customHeight="1">
      <c r="A21" s="30" t="inlineStr">
        <is>
          <t>Jantar</t>
        </is>
      </c>
      <c r="B21" s="30" t="inlineStr">
        <is>
          <t>Peito de frango cozido</t>
        </is>
      </c>
      <c r="C21" s="35" t="n">
        <v>100</v>
      </c>
      <c r="D21" s="29">
        <f>VLOOKUP(B21,Alimentos!$A:$L,2,FALSE)</f>
        <v/>
      </c>
      <c r="E21" s="29">
        <f>C21/VLOOKUP(B21,Alimentos!$A:$L,3,FALSE)*VLOOKUP(B21,Alimentos!$A:$L,4,FALSE)</f>
        <v/>
      </c>
      <c r="F21" s="29">
        <f>C21/VLOOKUP(B21,Alimentos!$A:$L,3,FALSE)*VLOOKUP(B21,Alimentos!$A:$L,5,FALSE)</f>
        <v/>
      </c>
      <c r="G21" s="29">
        <f>C21/VLOOKUP(B21,Alimentos!$A:$L,3,FALSE)*VLOOKUP(B21,Alimentos!$A:$L,6,FALSE)</f>
        <v/>
      </c>
      <c r="H21" s="29">
        <f>C21/VLOOKUP(B21,Alimentos!$A:$L,3,FALSE)*VLOOKUP(B21,Alimentos!$A:$L,7,FALSE)</f>
        <v/>
      </c>
      <c r="I21" s="29">
        <f>C21/VLOOKUP(B21,Alimentos!$A:$L,3,FALSE)*VLOOKUP(B21,Alimentos!$A:$L,8,FALSE)</f>
        <v/>
      </c>
      <c r="J21" s="30" t="inlineStr">
        <is>
          <t>Ajustado de 130–150 g para evitar excesso na soma do dia</t>
        </is>
      </c>
    </row>
    <row r="22" ht="21.75" customHeight="1">
      <c r="A22" s="30" t="inlineStr">
        <is>
          <t>Jantar</t>
        </is>
      </c>
      <c r="B22" s="30" t="inlineStr">
        <is>
          <t>Cenoura cozida</t>
        </is>
      </c>
      <c r="C22" s="35" t="n">
        <v>100</v>
      </c>
      <c r="D22" s="29">
        <f>VLOOKUP(B22,Alimentos!$A:$L,2,FALSE)</f>
        <v/>
      </c>
      <c r="E22" s="29">
        <f>C22/VLOOKUP(B22,Alimentos!$A:$L,3,FALSE)*VLOOKUP(B22,Alimentos!$A:$L,4,FALSE)</f>
        <v/>
      </c>
      <c r="F22" s="29">
        <f>C22/VLOOKUP(B22,Alimentos!$A:$L,3,FALSE)*VLOOKUP(B22,Alimentos!$A:$L,5,FALSE)</f>
        <v/>
      </c>
      <c r="G22" s="29">
        <f>C22/VLOOKUP(B22,Alimentos!$A:$L,3,FALSE)*VLOOKUP(B22,Alimentos!$A:$L,6,FALSE)</f>
        <v/>
      </c>
      <c r="H22" s="29">
        <f>C22/VLOOKUP(B22,Alimentos!$A:$L,3,FALSE)*VLOOKUP(B22,Alimentos!$A:$L,7,FALSE)</f>
        <v/>
      </c>
      <c r="I22" s="29">
        <f>C22/VLOOKUP(B22,Alimentos!$A:$L,3,FALSE)*VLOOKUP(B22,Alimentos!$A:$L,8,FALSE)</f>
        <v/>
      </c>
      <c r="J22" s="30" t="inlineStr">
        <is>
          <t>Exemplo de legumes</t>
        </is>
      </c>
    </row>
    <row r="23" ht="21.75" customHeight="1">
      <c r="A23" s="30" t="inlineStr">
        <is>
          <t>Jantar</t>
        </is>
      </c>
      <c r="B23" s="30" t="inlineStr">
        <is>
          <t>Alface crua</t>
        </is>
      </c>
      <c r="C23" s="35" t="n">
        <v>50</v>
      </c>
      <c r="D23" s="29">
        <f>VLOOKUP(B23,Alimentos!$A:$L,2,FALSE)</f>
        <v/>
      </c>
      <c r="E23" s="29">
        <f>C23/VLOOKUP(B23,Alimentos!$A:$L,3,FALSE)*VLOOKUP(B23,Alimentos!$A:$L,4,FALSE)</f>
        <v/>
      </c>
      <c r="F23" s="29">
        <f>C23/VLOOKUP(B23,Alimentos!$A:$L,3,FALSE)*VLOOKUP(B23,Alimentos!$A:$L,5,FALSE)</f>
        <v/>
      </c>
      <c r="G23" s="29">
        <f>C23/VLOOKUP(B23,Alimentos!$A:$L,3,FALSE)*VLOOKUP(B23,Alimentos!$A:$L,6,FALSE)</f>
        <v/>
      </c>
      <c r="H23" s="29">
        <f>C23/VLOOKUP(B23,Alimentos!$A:$L,3,FALSE)*VLOOKUP(B23,Alimentos!$A:$L,7,FALSE)</f>
        <v/>
      </c>
      <c r="I23" s="29">
        <f>C23/VLOOKUP(B23,Alimentos!$A:$L,3,FALSE)*VLOOKUP(B23,Alimentos!$A:$L,8,FALSE)</f>
        <v/>
      </c>
      <c r="J23" s="30" t="n"/>
    </row>
    <row r="24" ht="21.75" customHeight="1">
      <c r="A24" s="30" t="inlineStr">
        <is>
          <t>Jantar</t>
        </is>
      </c>
      <c r="B24" s="30" t="inlineStr">
        <is>
          <t>Azeite</t>
        </is>
      </c>
      <c r="C24" s="35" t="n">
        <v>10</v>
      </c>
      <c r="D24" s="29">
        <f>VLOOKUP(B24,Alimentos!$A:$L,2,FALSE)</f>
        <v/>
      </c>
      <c r="E24" s="29">
        <f>C24/VLOOKUP(B24,Alimentos!$A:$L,3,FALSE)*VLOOKUP(B24,Alimentos!$A:$L,4,FALSE)</f>
        <v/>
      </c>
      <c r="F24" s="29">
        <f>C24/VLOOKUP(B24,Alimentos!$A:$L,3,FALSE)*VLOOKUP(B24,Alimentos!$A:$L,5,FALSE)</f>
        <v/>
      </c>
      <c r="G24" s="29">
        <f>C24/VLOOKUP(B24,Alimentos!$A:$L,3,FALSE)*VLOOKUP(B24,Alimentos!$A:$L,6,FALSE)</f>
        <v/>
      </c>
      <c r="H24" s="29">
        <f>C24/VLOOKUP(B24,Alimentos!$A:$L,3,FALSE)*VLOOKUP(B24,Alimentos!$A:$L,7,FALSE)</f>
        <v/>
      </c>
      <c r="I24" s="29">
        <f>C24/VLOOKUP(B24,Alimentos!$A:$L,3,FALSE)*VLOOKUP(B24,Alimentos!$A:$L,8,FALSE)</f>
        <v/>
      </c>
      <c r="J24" s="30" t="inlineStr">
        <is>
          <t>Gordura estimada do preparo; não duplicar</t>
        </is>
      </c>
    </row>
    <row r="25" ht="21.75" customHeight="1">
      <c r="A25" s="30" t="inlineStr">
        <is>
          <t>Lanche</t>
        </is>
      </c>
      <c r="B25" s="30" t="inlineStr">
        <is>
          <t>Whey (rótulo a conferir)</t>
        </is>
      </c>
      <c r="C25" s="35" t="n">
        <v>10</v>
      </c>
      <c r="D25" s="29">
        <f>VLOOKUP(B25,Alimentos!$A:$L,2,FALSE)</f>
        <v/>
      </c>
      <c r="E25" s="29">
        <f>C25/VLOOKUP(B25,Alimentos!$A:$L,3,FALSE)*VLOOKUP(B25,Alimentos!$A:$L,4,FALSE)</f>
        <v/>
      </c>
      <c r="F25" s="29">
        <f>C25/VLOOKUP(B25,Alimentos!$A:$L,3,FALSE)*VLOOKUP(B25,Alimentos!$A:$L,5,FALSE)</f>
        <v/>
      </c>
      <c r="G25" s="29">
        <f>C25/VLOOKUP(B25,Alimentos!$A:$L,3,FALSE)*VLOOKUP(B25,Alimentos!$A:$L,6,FALSE)</f>
        <v/>
      </c>
      <c r="H25" s="29">
        <f>C25/VLOOKUP(B25,Alimentos!$A:$L,3,FALSE)*VLOOKUP(B25,Alimentos!$A:$L,7,FALSE)</f>
        <v/>
      </c>
      <c r="I25" s="29">
        <f>C25/VLOOKUP(B25,Alimentos!$A:$L,3,FALSE)*VLOOKUP(B25,Alimentos!$A:$L,8,FALSE)</f>
        <v/>
      </c>
      <c r="J25" s="30" t="inlineStr">
        <is>
          <t>10 g de pó na proposta atual; conferir rótulo.</t>
        </is>
      </c>
    </row>
    <row r="26" ht="21.75" customHeight="1">
      <c r="A26" s="30" t="inlineStr">
        <is>
          <t>Lanche</t>
        </is>
      </c>
      <c r="B26" s="30" t="inlineStr">
        <is>
          <t>Leite integral (estimativa)</t>
        </is>
      </c>
      <c r="C26" s="35" t="n">
        <v>200</v>
      </c>
      <c r="D26" s="29">
        <f>VLOOKUP(B26,Alimentos!$A:$L,2,FALSE)</f>
        <v/>
      </c>
      <c r="E26" s="29">
        <f>C26/VLOOKUP(B26,Alimentos!$A:$L,3,FALSE)*VLOOKUP(B26,Alimentos!$A:$L,4,FALSE)</f>
        <v/>
      </c>
      <c r="F26" s="29">
        <f>C26/VLOOKUP(B26,Alimentos!$A:$L,3,FALSE)*VLOOKUP(B26,Alimentos!$A:$L,5,FALSE)</f>
        <v/>
      </c>
      <c r="G26" s="29">
        <f>C26/VLOOKUP(B26,Alimentos!$A:$L,3,FALSE)*VLOOKUP(B26,Alimentos!$A:$L,6,FALSE)</f>
        <v/>
      </c>
      <c r="H26" s="29">
        <f>C26/VLOOKUP(B26,Alimentos!$A:$L,3,FALSE)*VLOOKUP(B26,Alimentos!$A:$L,7,FALSE)</f>
        <v/>
      </c>
      <c r="I26" s="29">
        <f>C26/VLOOKUP(B26,Alimentos!$A:$L,3,FALSE)*VLOOKUP(B26,Alimentos!$A:$L,8,FALSE)</f>
        <v/>
      </c>
      <c r="J26" s="30" t="n"/>
    </row>
    <row r="27" ht="21.75" customHeight="1">
      <c r="A27" s="30" t="inlineStr">
        <is>
          <t>Lanche</t>
        </is>
      </c>
      <c r="B27" s="30" t="inlineStr">
        <is>
          <t>Banana nanica</t>
        </is>
      </c>
      <c r="C27" s="35" t="n">
        <v>100</v>
      </c>
      <c r="D27" s="29">
        <f>VLOOKUP(B27,Alimentos!$A:$L,2,FALSE)</f>
        <v/>
      </c>
      <c r="E27" s="29">
        <f>C27/VLOOKUP(B27,Alimentos!$A:$L,3,FALSE)*VLOOKUP(B27,Alimentos!$A:$L,4,FALSE)</f>
        <v/>
      </c>
      <c r="F27" s="29">
        <f>C27/VLOOKUP(B27,Alimentos!$A:$L,3,FALSE)*VLOOKUP(B27,Alimentos!$A:$L,5,FALSE)</f>
        <v/>
      </c>
      <c r="G27" s="29">
        <f>C27/VLOOKUP(B27,Alimentos!$A:$L,3,FALSE)*VLOOKUP(B27,Alimentos!$A:$L,6,FALSE)</f>
        <v/>
      </c>
      <c r="H27" s="29">
        <f>C27/VLOOKUP(B27,Alimentos!$A:$L,3,FALSE)*VLOOKUP(B27,Alimentos!$A:$L,7,FALSE)</f>
        <v/>
      </c>
      <c r="I27" s="29">
        <f>C27/VLOOKUP(B27,Alimentos!$A:$L,3,FALSE)*VLOOKUP(B27,Alimentos!$A:$L,8,FALSE)</f>
        <v/>
      </c>
      <c r="J27" s="30" t="n"/>
    </row>
    <row r="28" ht="21.75" customHeight="1">
      <c r="A28" s="30" t="inlineStr">
        <is>
          <t>Lanche</t>
        </is>
      </c>
      <c r="B28" s="30" t="inlineStr">
        <is>
          <t>Aveia em flocos</t>
        </is>
      </c>
      <c r="C28" s="35" t="n">
        <v>40</v>
      </c>
      <c r="D28" s="29">
        <f>VLOOKUP(B28,Alimentos!$A:$L,2,FALSE)</f>
        <v/>
      </c>
      <c r="E28" s="29">
        <f>C28/VLOOKUP(B28,Alimentos!$A:$L,3,FALSE)*VLOOKUP(B28,Alimentos!$A:$L,4,FALSE)</f>
        <v/>
      </c>
      <c r="F28" s="29">
        <f>C28/VLOOKUP(B28,Alimentos!$A:$L,3,FALSE)*VLOOKUP(B28,Alimentos!$A:$L,5,FALSE)</f>
        <v/>
      </c>
      <c r="G28" s="29">
        <f>C28/VLOOKUP(B28,Alimentos!$A:$L,3,FALSE)*VLOOKUP(B28,Alimentos!$A:$L,6,FALSE)</f>
        <v/>
      </c>
      <c r="H28" s="29">
        <f>C28/VLOOKUP(B28,Alimentos!$A:$L,3,FALSE)*VLOOKUP(B28,Alimentos!$A:$L,7,FALSE)</f>
        <v/>
      </c>
      <c r="I28" s="29">
        <f>C28/VLOOKUP(B28,Alimentos!$A:$L,3,FALSE)*VLOOKUP(B28,Alimentos!$A:$L,8,FALSE)</f>
        <v/>
      </c>
      <c r="J28" s="30" t="n"/>
    </row>
    <row r="29" ht="21.75" customHeight="1">
      <c r="A29" s="30" t="inlineStr">
        <is>
          <t>Ceia</t>
        </is>
      </c>
      <c r="B29" s="30" t="inlineStr">
        <is>
          <t>Banana nanica</t>
        </is>
      </c>
      <c r="C29" s="35" t="n">
        <v>100</v>
      </c>
      <c r="D29" s="29">
        <f>VLOOKUP(B29,Alimentos!$A:$L,2,FALSE)</f>
        <v/>
      </c>
      <c r="E29" s="29">
        <f>C29/VLOOKUP(B29,Alimentos!$A:$L,3,FALSE)*VLOOKUP(B29,Alimentos!$A:$L,4,FALSE)</f>
        <v/>
      </c>
      <c r="F29" s="29">
        <f>C29/VLOOKUP(B29,Alimentos!$A:$L,3,FALSE)*VLOOKUP(B29,Alimentos!$A:$L,5,FALSE)</f>
        <v/>
      </c>
      <c r="G29" s="29">
        <f>C29/VLOOKUP(B29,Alimentos!$A:$L,3,FALSE)*VLOOKUP(B29,Alimentos!$A:$L,6,FALSE)</f>
        <v/>
      </c>
      <c r="H29" s="29">
        <f>C29/VLOOKUP(B29,Alimentos!$A:$L,3,FALSE)*VLOOKUP(B29,Alimentos!$A:$L,7,FALSE)</f>
        <v/>
      </c>
      <c r="I29" s="29">
        <f>C29/VLOOKUP(B29,Alimentos!$A:$L,3,FALSE)*VLOOKUP(B29,Alimentos!$A:$L,8,FALSE)</f>
        <v/>
      </c>
      <c r="J29" s="30" t="inlineStr">
        <is>
          <t>Pode deslocar para antes do Muay Thai</t>
        </is>
      </c>
    </row>
    <row r="30" ht="21.75" customHeight="1">
      <c r="A30" s="18" t="n"/>
      <c r="B30" s="18" t="n"/>
      <c r="C30" s="29" t="n"/>
      <c r="D30" s="29" t="n"/>
      <c r="E30" s="29" t="n"/>
      <c r="F30" s="29" t="n"/>
      <c r="G30" s="29" t="n"/>
      <c r="H30" s="29" t="n"/>
      <c r="I30" s="29" t="n"/>
      <c r="J30" s="18" t="n"/>
    </row>
    <row r="31" ht="21.75" customHeight="1">
      <c r="A31" s="28" t="inlineStr">
        <is>
          <t>Total da proposta</t>
        </is>
      </c>
      <c r="B31" s="28" t="n"/>
      <c r="C31" s="36" t="n"/>
      <c r="D31" s="36" t="n"/>
      <c r="E31" s="36">
        <f>SUM(E6:E29)</f>
        <v/>
      </c>
      <c r="F31" s="36">
        <f>SUM(F6:F29)</f>
        <v/>
      </c>
      <c r="G31" s="36">
        <f>SUM(G6:G29)</f>
        <v/>
      </c>
      <c r="H31" s="36">
        <f>SUM(H6:H29)</f>
        <v/>
      </c>
      <c r="I31" s="36">
        <f>SUM(I6:I29)</f>
        <v/>
      </c>
      <c r="J31" s="28" t="n"/>
    </row>
    <row r="32" ht="21.75" customHeight="1">
      <c r="A32" s="18" t="n"/>
      <c r="B32" s="18" t="n"/>
      <c r="C32" s="18" t="n"/>
      <c r="D32" s="18" t="n"/>
      <c r="E32" s="18" t="n"/>
      <c r="F32" s="18" t="n"/>
      <c r="G32" s="18" t="n"/>
      <c r="H32" s="18" t="n"/>
      <c r="I32" s="18" t="n"/>
      <c r="J32" s="18" t="n"/>
    </row>
    <row r="33" ht="21.75" customHeight="1">
      <c r="A33" s="18" t="n"/>
      <c r="B33" s="18" t="n"/>
      <c r="C33" s="18" t="n"/>
      <c r="D33" s="18" t="n"/>
      <c r="E33" s="18" t="n"/>
      <c r="F33" s="18" t="n"/>
      <c r="G33" s="18" t="n"/>
      <c r="H33" s="18" t="n"/>
      <c r="I33" s="18" t="n"/>
      <c r="J33" s="18" t="n"/>
    </row>
    <row r="34" ht="21.75" customHeight="1">
      <c r="A34" s="18" t="n"/>
      <c r="B34" s="18" t="n"/>
      <c r="C34" s="18" t="n"/>
      <c r="D34" s="18" t="n"/>
      <c r="E34" s="18" t="n"/>
      <c r="F34" s="18" t="n"/>
      <c r="G34" s="18" t="n"/>
      <c r="H34" s="18" t="n"/>
      <c r="I34" s="18" t="n"/>
      <c r="J34" s="18" t="n"/>
    </row>
    <row r="35" ht="21.75" customHeight="1">
      <c r="A35" s="18" t="n"/>
      <c r="B35" s="18" t="n"/>
      <c r="C35" s="18" t="n"/>
      <c r="D35" s="18" t="n"/>
      <c r="E35" s="18" t="n"/>
      <c r="F35" s="18" t="n"/>
      <c r="G35" s="18" t="n"/>
      <c r="H35" s="18" t="n"/>
      <c r="I35" s="18" t="n"/>
      <c r="J35" s="18" t="n"/>
    </row>
    <row r="36" ht="21.75" customHeight="1">
      <c r="A36" s="18" t="n"/>
      <c r="B36" s="18" t="n"/>
      <c r="C36" s="18" t="n"/>
      <c r="D36" s="18" t="n"/>
      <c r="E36" s="18" t="n"/>
      <c r="F36" s="18" t="n"/>
      <c r="G36" s="18" t="n"/>
      <c r="H36" s="18" t="n"/>
      <c r="I36" s="18" t="n"/>
      <c r="J36" s="18" t="n"/>
    </row>
    <row r="37" ht="21.75" customHeight="1">
      <c r="A37" s="18" t="n"/>
      <c r="B37" s="18" t="n"/>
      <c r="C37" s="18" t="n"/>
      <c r="D37" s="18" t="n"/>
      <c r="E37" s="18" t="n"/>
      <c r="F37" s="18" t="n"/>
      <c r="G37" s="18" t="n"/>
      <c r="H37" s="18" t="n"/>
      <c r="I37" s="18" t="n"/>
      <c r="J37" s="18" t="n"/>
    </row>
    <row r="38" ht="21.75" customHeight="1">
      <c r="A38" s="18" t="n"/>
      <c r="B38" s="18" t="n"/>
      <c r="C38" s="18" t="n"/>
      <c r="D38" s="18" t="n"/>
      <c r="E38" s="18" t="n"/>
      <c r="F38" s="18" t="n"/>
      <c r="G38" s="18" t="n"/>
      <c r="H38" s="18" t="n"/>
      <c r="I38" s="18" t="n"/>
      <c r="J38" s="18" t="n"/>
    </row>
    <row r="39" ht="21.75" customHeight="1">
      <c r="A39" s="18" t="n"/>
      <c r="B39" s="18" t="n"/>
      <c r="C39" s="18" t="n"/>
      <c r="D39" s="18" t="n"/>
      <c r="E39" s="18" t="n"/>
      <c r="F39" s="18" t="n"/>
      <c r="G39" s="18" t="n"/>
      <c r="H39" s="18" t="n"/>
      <c r="I39" s="18" t="n"/>
      <c r="J39" s="18" t="n"/>
    </row>
    <row r="40" ht="21.75" customHeight="1">
      <c r="A40" s="18" t="n"/>
      <c r="B40" s="18" t="n"/>
      <c r="C40" s="18" t="n"/>
      <c r="D40" s="18" t="n"/>
      <c r="E40" s="18" t="n"/>
      <c r="F40" s="18" t="n"/>
      <c r="G40" s="18" t="n"/>
      <c r="H40" s="18" t="n"/>
      <c r="I40" s="18" t="n"/>
      <c r="J40" s="18" t="n"/>
    </row>
    <row r="41" ht="21.75" customHeight="1">
      <c r="A41" s="18" t="n"/>
      <c r="B41" s="18" t="n"/>
      <c r="C41" s="18" t="n"/>
      <c r="D41" s="18" t="n"/>
      <c r="E41" s="18" t="n"/>
      <c r="F41" s="18" t="n"/>
      <c r="G41" s="18" t="n"/>
      <c r="H41" s="18" t="n"/>
      <c r="I41" s="18" t="n"/>
      <c r="J41" s="18" t="n"/>
    </row>
    <row r="42" ht="21.75" customHeight="1">
      <c r="A42" s="18" t="n"/>
      <c r="B42" s="18" t="n"/>
      <c r="C42" s="18" t="n"/>
      <c r="D42" s="18" t="n"/>
      <c r="E42" s="18" t="n"/>
      <c r="F42" s="18" t="n"/>
      <c r="G42" s="18" t="n"/>
      <c r="H42" s="18" t="n"/>
      <c r="I42" s="18" t="n"/>
      <c r="J42" s="18" t="n"/>
    </row>
    <row r="43" ht="21.75" customHeight="1">
      <c r="A43" s="18" t="n"/>
      <c r="B43" s="18" t="n"/>
      <c r="C43" s="18" t="n"/>
      <c r="D43" s="18" t="n"/>
      <c r="E43" s="18" t="n"/>
      <c r="F43" s="18" t="n"/>
      <c r="G43" s="18" t="n"/>
      <c r="H43" s="18" t="n"/>
      <c r="I43" s="18" t="n"/>
      <c r="J43" s="18" t="n"/>
    </row>
    <row r="44" ht="21.75" customHeight="1">
      <c r="A44" s="18" t="n"/>
      <c r="B44" s="18" t="n"/>
      <c r="C44" s="18" t="n"/>
      <c r="D44" s="18" t="n"/>
      <c r="E44" s="18" t="n"/>
      <c r="F44" s="18" t="n"/>
      <c r="G44" s="18" t="n"/>
      <c r="H44" s="18" t="n"/>
      <c r="I44" s="18" t="n"/>
      <c r="J44" s="18" t="n"/>
    </row>
    <row r="45" ht="21.75" customHeight="1">
      <c r="A45" s="18" t="n"/>
      <c r="B45" s="18" t="n"/>
      <c r="C45" s="18" t="n"/>
      <c r="D45" s="18" t="n"/>
      <c r="E45" s="18" t="n"/>
      <c r="F45" s="18" t="n"/>
      <c r="G45" s="18" t="n"/>
      <c r="H45" s="18" t="n"/>
      <c r="I45" s="18" t="n"/>
      <c r="J45" s="18" t="n"/>
    </row>
    <row r="46" ht="21.75" customHeight="1">
      <c r="A46" s="18" t="n"/>
      <c r="B46" s="18" t="n"/>
      <c r="C46" s="18" t="n"/>
      <c r="D46" s="18" t="n"/>
      <c r="E46" s="18" t="n"/>
      <c r="F46" s="18" t="n"/>
      <c r="G46" s="18" t="n"/>
      <c r="H46" s="18" t="n"/>
      <c r="I46" s="18" t="n"/>
      <c r="J46" s="18" t="n"/>
    </row>
    <row r="47" ht="21.75" customHeight="1">
      <c r="A47" s="18" t="n"/>
      <c r="B47" s="18" t="n"/>
      <c r="C47" s="18" t="n"/>
      <c r="D47" s="18" t="n"/>
      <c r="E47" s="18" t="n"/>
      <c r="F47" s="18" t="n"/>
      <c r="G47" s="18" t="n"/>
      <c r="H47" s="18" t="n"/>
      <c r="I47" s="18" t="n"/>
      <c r="J47" s="18" t="n"/>
    </row>
    <row r="48" ht="21.75" customHeight="1">
      <c r="A48" s="18" t="n"/>
      <c r="B48" s="18" t="n"/>
      <c r="C48" s="18" t="n"/>
      <c r="D48" s="18" t="n"/>
      <c r="E48" s="18" t="n"/>
      <c r="F48" s="18" t="n"/>
      <c r="G48" s="18" t="n"/>
      <c r="H48" s="18" t="n"/>
      <c r="I48" s="18" t="n"/>
      <c r="J48" s="18" t="n"/>
    </row>
    <row r="49" ht="21.75" customHeight="1">
      <c r="A49" s="18" t="n"/>
      <c r="B49" s="18" t="n"/>
      <c r="C49" s="18" t="n"/>
      <c r="D49" s="18" t="n"/>
      <c r="E49" s="18" t="n"/>
      <c r="F49" s="18" t="n"/>
      <c r="G49" s="18" t="n"/>
      <c r="H49" s="18" t="n"/>
      <c r="I49" s="18" t="n"/>
      <c r="J49" s="18" t="n"/>
    </row>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sheetData>
  <dataValidations count="1">
    <dataValidation sqref="B6:B1001" showDropDown="0" showInputMessage="1" showErrorMessage="1" allowBlank="1" prompt="Escolha uma opção cadastrada." type="list">
      <formula1>Alimentos!$A$6:$A$1000</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35"/>
  <sheetViews>
    <sheetView showGridLines="0" workbookViewId="0">
      <selection activeCell="A1" sqref="A1"/>
    </sheetView>
  </sheetViews>
  <sheetFormatPr baseColWidth="8" defaultRowHeight="15"/>
  <cols>
    <col width="31.95" customWidth="1" min="1" max="1"/>
    <col width="12" customWidth="1" min="2" max="2"/>
    <col width="16.04" customWidth="1" min="3" max="3"/>
    <col width="34.99" customWidth="1" min="4" max="4"/>
    <col width="18.06" customWidth="1" min="5" max="5"/>
    <col width="12" customWidth="1" min="6" max="6"/>
    <col width="13.01" customWidth="1" min="7" max="7"/>
    <col width="17.05" customWidth="1" min="8" max="8"/>
    <col width="16.04" customWidth="1" min="9" max="9"/>
    <col width="15.03" customWidth="1" min="10" max="10"/>
    <col width="17.05" customWidth="1" min="11" max="11"/>
    <col width="15.03" customWidth="1" min="12" max="12"/>
    <col width="65.04000000000001" customWidth="1" min="13" max="13"/>
    <col width="8.59" customWidth="1" min="14" max="14"/>
    <col width="8.59"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s>
  <sheetData>
    <row r="1" ht="21.75" customHeight="1">
      <c r="A1" s="18" t="n"/>
      <c r="B1" s="18" t="n"/>
      <c r="C1" s="18" t="n"/>
      <c r="D1" s="18" t="n"/>
      <c r="E1" s="18" t="n"/>
      <c r="F1" s="18" t="n"/>
      <c r="G1" s="18" t="n"/>
      <c r="H1" s="18" t="n"/>
      <c r="I1" s="18" t="n"/>
      <c r="J1" s="18" t="n"/>
      <c r="K1" s="18" t="n"/>
      <c r="L1" s="18" t="n"/>
      <c r="M1" s="18" t="n"/>
    </row>
    <row r="2" ht="21.75" customHeight="1">
      <c r="A2" s="19" t="inlineStr">
        <is>
          <t>Trocas por nutriente principal</t>
        </is>
      </c>
      <c r="B2" s="18" t="n"/>
      <c r="C2" s="18" t="n"/>
      <c r="D2" s="18" t="n"/>
      <c r="E2" s="18" t="n"/>
      <c r="F2" s="18" t="n"/>
      <c r="G2" s="18" t="n"/>
      <c r="H2" s="18" t="n"/>
      <c r="I2" s="18" t="n"/>
      <c r="J2" s="18" t="n"/>
      <c r="K2" s="18" t="n"/>
      <c r="L2" s="18" t="n"/>
      <c r="M2" s="18" t="n"/>
    </row>
    <row r="3" ht="21.75" customHeight="1">
      <c r="A3" s="20" t="inlineStr">
        <is>
          <t>Trocas igualam um nutriente, não todos os macros. Confira o total da dieta.</t>
        </is>
      </c>
      <c r="B3" s="18" t="n"/>
      <c r="C3" s="18" t="n"/>
      <c r="D3" s="18" t="n"/>
      <c r="E3" s="18" t="n"/>
      <c r="F3" s="18" t="n"/>
      <c r="G3" s="18" t="n"/>
      <c r="H3" s="18" t="n"/>
      <c r="I3" s="18" t="n"/>
      <c r="J3" s="18" t="n"/>
      <c r="K3" s="18" t="n"/>
      <c r="L3" s="18" t="n"/>
      <c r="M3" s="18" t="n"/>
    </row>
    <row r="4" ht="21.75" customHeight="1">
      <c r="A4" s="18" t="n"/>
      <c r="B4" s="18" t="n"/>
      <c r="C4" s="18" t="n"/>
      <c r="D4" s="18" t="n"/>
      <c r="E4" s="18" t="n"/>
      <c r="F4" s="18" t="n"/>
      <c r="G4" s="18" t="n"/>
      <c r="H4" s="18" t="n"/>
      <c r="I4" s="18" t="n"/>
      <c r="J4" s="18" t="n"/>
      <c r="K4" s="18" t="n"/>
      <c r="L4" s="18" t="n"/>
      <c r="M4" s="18" t="n"/>
    </row>
    <row r="5" ht="37.5" customHeight="1">
      <c r="A5" s="21" t="inlineStr">
        <is>
          <t>Base</t>
        </is>
      </c>
      <c r="B5" s="21" t="inlineStr">
        <is>
          <t>Qtd. base</t>
        </is>
      </c>
      <c r="C5" s="21" t="inlineStr">
        <is>
          <t>Critério</t>
        </is>
      </c>
      <c r="D5" s="21" t="inlineStr">
        <is>
          <t>Alternativa</t>
        </is>
      </c>
      <c r="E5" s="21" t="inlineStr">
        <is>
          <t>Qtd. equivalente</t>
        </is>
      </c>
      <c r="F5" s="21" t="inlineStr">
        <is>
          <t>Unidade</t>
        </is>
      </c>
      <c r="G5" s="21" t="inlineStr">
        <is>
          <t>kcal base</t>
        </is>
      </c>
      <c r="H5" s="21" t="inlineStr">
        <is>
          <t>kcal alternativa</t>
        </is>
      </c>
      <c r="I5" s="21" t="inlineStr">
        <is>
          <t>Diferença kcal</t>
        </is>
      </c>
      <c r="J5" s="21" t="inlineStr">
        <is>
          <t>Proteína alt.</t>
        </is>
      </c>
      <c r="K5" s="21" t="inlineStr">
        <is>
          <t>Carboidrato alt.</t>
        </is>
      </c>
      <c r="L5" s="21" t="inlineStr">
        <is>
          <t>Gordura alt.</t>
        </is>
      </c>
      <c r="M5" s="21" t="inlineStr">
        <is>
          <t>Observação</t>
        </is>
      </c>
    </row>
    <row r="6" ht="21.75" customHeight="1">
      <c r="A6" s="30" t="inlineStr">
        <is>
          <t>Peito de frango cozido</t>
        </is>
      </c>
      <c r="B6" s="35" t="n">
        <v>100</v>
      </c>
      <c r="C6" s="35" t="inlineStr">
        <is>
          <t>Proteína</t>
        </is>
      </c>
      <c r="D6" s="35" t="inlineStr">
        <is>
          <t>Ovo inteiro cozido</t>
        </is>
      </c>
      <c r="E6" s="29">
        <f>B6/VLOOKUP(A6,Alimentos!$A:$L,3,FALSE)*VLOOKUP(A6,Alimentos!$A:$L,IF(C6="Proteína",5,IF(C6="Carboidrato",6,7)),FALSE)/VLOOKUP(D6,Alimentos!$A:$L,IF(C6="Proteína",5,IF(C6="Carboidrato",6,7)),FALSE)*VLOOKUP(D6,Alimentos!$A:$L,3,FALSE)</f>
        <v/>
      </c>
      <c r="F6" s="29">
        <f>VLOOKUP(D6,Alimentos!$A:$L,2,FALSE)</f>
        <v/>
      </c>
      <c r="G6" s="29">
        <f>B6/VLOOKUP(A6,Alimentos!$A:$L,3,FALSE)*VLOOKUP(A6,Alimentos!$A:$L,4,FALSE)</f>
        <v/>
      </c>
      <c r="H6" s="29">
        <f>E6/VLOOKUP(D6,Alimentos!$A:$L,3,FALSE)*VLOOKUP(D6,Alimentos!$A:$L,4,FALSE)</f>
        <v/>
      </c>
      <c r="I6" s="29">
        <f>H6-G6</f>
        <v/>
      </c>
      <c r="J6" s="29">
        <f>E6/VLOOKUP(D6,Alimentos!$A:$L,3,FALSE)*VLOOKUP(D6,Alimentos!$A:$L,5,FALSE)</f>
        <v/>
      </c>
      <c r="K6" s="29">
        <f>E6/VLOOKUP(D6,Alimentos!$A:$L,3,FALSE)*VLOOKUP(D6,Alimentos!$A:$L,6,FALSE)</f>
        <v/>
      </c>
      <c r="L6" s="29">
        <f>E6/VLOOKUP(D6,Alimentos!$A:$L,3,FALSE)*VLOOKUP(D6,Alimentos!$A:$L,7,FALSE)</f>
        <v/>
      </c>
      <c r="M6" s="18" t="inlineStr">
        <is>
          <t>Ovos: dividir gramas por 50 para estimar unidades. A gordura e as calorias aumentam nesta troca.</t>
        </is>
      </c>
    </row>
    <row r="7" ht="21.75" customHeight="1">
      <c r="A7" s="30" t="inlineStr">
        <is>
          <t>Ovo inteiro cozido</t>
        </is>
      </c>
      <c r="B7" s="35" t="n">
        <v>150</v>
      </c>
      <c r="C7" s="35" t="inlineStr">
        <is>
          <t>Proteína</t>
        </is>
      </c>
      <c r="D7" s="35" t="inlineStr">
        <is>
          <t>Peito de frango cozido</t>
        </is>
      </c>
      <c r="E7" s="29">
        <f>B7/VLOOKUP(A7,Alimentos!$A:$L,3,FALSE)*VLOOKUP(A7,Alimentos!$A:$L,IF(C7="Proteína",5,IF(C7="Carboidrato",6,7)),FALSE)/VLOOKUP(D7,Alimentos!$A:$L,IF(C7="Proteína",5,IF(C7="Carboidrato",6,7)),FALSE)*VLOOKUP(D7,Alimentos!$A:$L,3,FALSE)</f>
        <v/>
      </c>
      <c r="F7" s="29">
        <f>VLOOKUP(D7,Alimentos!$A:$L,2,FALSE)</f>
        <v/>
      </c>
      <c r="G7" s="29">
        <f>B7/VLOOKUP(A7,Alimentos!$A:$L,3,FALSE)*VLOOKUP(A7,Alimentos!$A:$L,4,FALSE)</f>
        <v/>
      </c>
      <c r="H7" s="29">
        <f>E7/VLOOKUP(D7,Alimentos!$A:$L,3,FALSE)*VLOOKUP(D7,Alimentos!$A:$L,4,FALSE)</f>
        <v/>
      </c>
      <c r="I7" s="29">
        <f>H7-G7</f>
        <v/>
      </c>
      <c r="J7" s="29">
        <f>E7/VLOOKUP(D7,Alimentos!$A:$L,3,FALSE)*VLOOKUP(D7,Alimentos!$A:$L,5,FALSE)</f>
        <v/>
      </c>
      <c r="K7" s="29">
        <f>E7/VLOOKUP(D7,Alimentos!$A:$L,3,FALSE)*VLOOKUP(D7,Alimentos!$A:$L,6,FALSE)</f>
        <v/>
      </c>
      <c r="L7" s="29">
        <f>E7/VLOOKUP(D7,Alimentos!$A:$L,3,FALSE)*VLOOKUP(D7,Alimentos!$A:$L,7,FALSE)</f>
        <v/>
      </c>
      <c r="M7" s="18" t="n"/>
    </row>
    <row r="8" ht="21.75" customHeight="1">
      <c r="A8" s="30" t="inlineStr">
        <is>
          <t>Whey (rótulo a conferir)</t>
        </is>
      </c>
      <c r="B8" s="35" t="n">
        <v>30</v>
      </c>
      <c r="C8" s="35" t="inlineStr">
        <is>
          <t>Proteína</t>
        </is>
      </c>
      <c r="D8" s="35" t="inlineStr">
        <is>
          <t>Peito de frango cozido</t>
        </is>
      </c>
      <c r="E8" s="29">
        <f>B8/VLOOKUP(A8,Alimentos!$A:$L,3,FALSE)*VLOOKUP(A8,Alimentos!$A:$L,IF(C8="Proteína",5,IF(C8="Carboidrato",6,7)),FALSE)/VLOOKUP(D8,Alimentos!$A:$L,IF(C8="Proteína",5,IF(C8="Carboidrato",6,7)),FALSE)*VLOOKUP(D8,Alimentos!$A:$L,3,FALSE)</f>
        <v/>
      </c>
      <c r="F8" s="29">
        <f>VLOOKUP(D8,Alimentos!$A:$L,2,FALSE)</f>
        <v/>
      </c>
      <c r="G8" s="29">
        <f>B8/VLOOKUP(A8,Alimentos!$A:$L,3,FALSE)*VLOOKUP(A8,Alimentos!$A:$L,4,FALSE)</f>
        <v/>
      </c>
      <c r="H8" s="29">
        <f>E8/VLOOKUP(D8,Alimentos!$A:$L,3,FALSE)*VLOOKUP(D8,Alimentos!$A:$L,4,FALSE)</f>
        <v/>
      </c>
      <c r="I8" s="29">
        <f>H8-G8</f>
        <v/>
      </c>
      <c r="J8" s="29">
        <f>E8/VLOOKUP(D8,Alimentos!$A:$L,3,FALSE)*VLOOKUP(D8,Alimentos!$A:$L,5,FALSE)</f>
        <v/>
      </c>
      <c r="K8" s="29">
        <f>E8/VLOOKUP(D8,Alimentos!$A:$L,3,FALSE)*VLOOKUP(D8,Alimentos!$A:$L,6,FALSE)</f>
        <v/>
      </c>
      <c r="L8" s="29">
        <f>E8/VLOOKUP(D8,Alimentos!$A:$L,3,FALSE)*VLOOKUP(D8,Alimentos!$A:$L,7,FALSE)</f>
        <v/>
      </c>
      <c r="M8" s="18" t="n"/>
    </row>
    <row r="9" ht="21.75" customHeight="1">
      <c r="A9" s="30" t="inlineStr">
        <is>
          <t>Whey (rótulo a conferir)</t>
        </is>
      </c>
      <c r="B9" s="35" t="n">
        <v>30</v>
      </c>
      <c r="C9" s="35" t="inlineStr">
        <is>
          <t>Proteína</t>
        </is>
      </c>
      <c r="D9" s="35" t="inlineStr">
        <is>
          <t>Ovo inteiro cozido</t>
        </is>
      </c>
      <c r="E9" s="29">
        <f>B9/VLOOKUP(A9,Alimentos!$A:$L,3,FALSE)*VLOOKUP(A9,Alimentos!$A:$L,IF(C9="Proteína",5,IF(C9="Carboidrato",6,7)),FALSE)/VLOOKUP(D9,Alimentos!$A:$L,IF(C9="Proteína",5,IF(C9="Carboidrato",6,7)),FALSE)*VLOOKUP(D9,Alimentos!$A:$L,3,FALSE)</f>
        <v/>
      </c>
      <c r="F9" s="29">
        <f>VLOOKUP(D9,Alimentos!$A:$L,2,FALSE)</f>
        <v/>
      </c>
      <c r="G9" s="29">
        <f>B9/VLOOKUP(A9,Alimentos!$A:$L,3,FALSE)*VLOOKUP(A9,Alimentos!$A:$L,4,FALSE)</f>
        <v/>
      </c>
      <c r="H9" s="29">
        <f>E9/VLOOKUP(D9,Alimentos!$A:$L,3,FALSE)*VLOOKUP(D9,Alimentos!$A:$L,4,FALSE)</f>
        <v/>
      </c>
      <c r="I9" s="29">
        <f>H9-G9</f>
        <v/>
      </c>
      <c r="J9" s="29">
        <f>E9/VLOOKUP(D9,Alimentos!$A:$L,3,FALSE)*VLOOKUP(D9,Alimentos!$A:$L,5,FALSE)</f>
        <v/>
      </c>
      <c r="K9" s="29">
        <f>E9/VLOOKUP(D9,Alimentos!$A:$L,3,FALSE)*VLOOKUP(D9,Alimentos!$A:$L,6,FALSE)</f>
        <v/>
      </c>
      <c r="L9" s="29">
        <f>E9/VLOOKUP(D9,Alimentos!$A:$L,3,FALSE)*VLOOKUP(D9,Alimentos!$A:$L,7,FALSE)</f>
        <v/>
      </c>
      <c r="M9" s="18" t="n"/>
    </row>
    <row r="10" ht="21.75" customHeight="1">
      <c r="A10" s="30" t="inlineStr">
        <is>
          <t>Peito de frango cozido</t>
        </is>
      </c>
      <c r="B10" s="35" t="n">
        <v>100</v>
      </c>
      <c r="C10" s="35" t="inlineStr">
        <is>
          <t>Proteína</t>
        </is>
      </c>
      <c r="D10" s="35" t="inlineStr">
        <is>
          <t>Merluza assada</t>
        </is>
      </c>
      <c r="E10" s="29">
        <f>B10/VLOOKUP(A10,Alimentos!$A:$L,3,FALSE)*VLOOKUP(A10,Alimentos!$A:$L,IF(C10="Proteína",5,IF(C10="Carboidrato",6,7)),FALSE)/VLOOKUP(D10,Alimentos!$A:$L,IF(C10="Proteína",5,IF(C10="Carboidrato",6,7)),FALSE)*VLOOKUP(D10,Alimentos!$A:$L,3,FALSE)</f>
        <v/>
      </c>
      <c r="F10" s="29">
        <f>VLOOKUP(D10,Alimentos!$A:$L,2,FALSE)</f>
        <v/>
      </c>
      <c r="G10" s="29">
        <f>B10/VLOOKUP(A10,Alimentos!$A:$L,3,FALSE)*VLOOKUP(A10,Alimentos!$A:$L,4,FALSE)</f>
        <v/>
      </c>
      <c r="H10" s="29">
        <f>E10/VLOOKUP(D10,Alimentos!$A:$L,3,FALSE)*VLOOKUP(D10,Alimentos!$A:$L,4,FALSE)</f>
        <v/>
      </c>
      <c r="I10" s="29">
        <f>H10-G10</f>
        <v/>
      </c>
      <c r="J10" s="29">
        <f>E10/VLOOKUP(D10,Alimentos!$A:$L,3,FALSE)*VLOOKUP(D10,Alimentos!$A:$L,5,FALSE)</f>
        <v/>
      </c>
      <c r="K10" s="29">
        <f>E10/VLOOKUP(D10,Alimentos!$A:$L,3,FALSE)*VLOOKUP(D10,Alimentos!$A:$L,6,FALSE)</f>
        <v/>
      </c>
      <c r="L10" s="29">
        <f>E10/VLOOKUP(D10,Alimentos!$A:$L,3,FALSE)*VLOOKUP(D10,Alimentos!$A:$L,7,FALSE)</f>
        <v/>
      </c>
      <c r="M10" s="18" t="n"/>
    </row>
    <row r="11" ht="21.75" customHeight="1">
      <c r="A11" s="30" t="inlineStr">
        <is>
          <t>Ovo inteiro cozido</t>
        </is>
      </c>
      <c r="B11" s="35" t="n">
        <v>150</v>
      </c>
      <c r="C11" s="35" t="inlineStr">
        <is>
          <t>Proteína</t>
        </is>
      </c>
      <c r="D11" s="35" t="inlineStr">
        <is>
          <t>Clara de ovo cozida</t>
        </is>
      </c>
      <c r="E11" s="29">
        <f>B11/VLOOKUP(A11,Alimentos!$A:$L,3,FALSE)*VLOOKUP(A11,Alimentos!$A:$L,IF(C11="Proteína",5,IF(C11="Carboidrato",6,7)),FALSE)/VLOOKUP(D11,Alimentos!$A:$L,IF(C11="Proteína",5,IF(C11="Carboidrato",6,7)),FALSE)*VLOOKUP(D11,Alimentos!$A:$L,3,FALSE)</f>
        <v/>
      </c>
      <c r="F11" s="29">
        <f>VLOOKUP(D11,Alimentos!$A:$L,2,FALSE)</f>
        <v/>
      </c>
      <c r="G11" s="29">
        <f>B11/VLOOKUP(A11,Alimentos!$A:$L,3,FALSE)*VLOOKUP(A11,Alimentos!$A:$L,4,FALSE)</f>
        <v/>
      </c>
      <c r="H11" s="29">
        <f>E11/VLOOKUP(D11,Alimentos!$A:$L,3,FALSE)*VLOOKUP(D11,Alimentos!$A:$L,4,FALSE)</f>
        <v/>
      </c>
      <c r="I11" s="29">
        <f>H11-G11</f>
        <v/>
      </c>
      <c r="J11" s="29">
        <f>E11/VLOOKUP(D11,Alimentos!$A:$L,3,FALSE)*VLOOKUP(D11,Alimentos!$A:$L,5,FALSE)</f>
        <v/>
      </c>
      <c r="K11" s="29">
        <f>E11/VLOOKUP(D11,Alimentos!$A:$L,3,FALSE)*VLOOKUP(D11,Alimentos!$A:$L,6,FALSE)</f>
        <v/>
      </c>
      <c r="L11" s="29">
        <f>E11/VLOOKUP(D11,Alimentos!$A:$L,3,FALSE)*VLOOKUP(D11,Alimentos!$A:$L,7,FALSE)</f>
        <v/>
      </c>
      <c r="M11" s="18" t="n"/>
    </row>
    <row r="12" ht="21.75" customHeight="1">
      <c r="A12" s="30" t="inlineStr">
        <is>
          <t>Arroz branco cozido</t>
        </is>
      </c>
      <c r="B12" s="35" t="n">
        <v>150</v>
      </c>
      <c r="C12" s="35" t="inlineStr">
        <is>
          <t>Carboidrato</t>
        </is>
      </c>
      <c r="D12" s="35" t="inlineStr">
        <is>
          <t>Batata inglesa cozida</t>
        </is>
      </c>
      <c r="E12" s="29">
        <f>B12/VLOOKUP(A12,Alimentos!$A:$L,3,FALSE)*VLOOKUP(A12,Alimentos!$A:$L,IF(C12="Proteína",5,IF(C12="Carboidrato",6,7)),FALSE)/VLOOKUP(D12,Alimentos!$A:$L,IF(C12="Proteína",5,IF(C12="Carboidrato",6,7)),FALSE)*VLOOKUP(D12,Alimentos!$A:$L,3,FALSE)</f>
        <v/>
      </c>
      <c r="F12" s="29">
        <f>VLOOKUP(D12,Alimentos!$A:$L,2,FALSE)</f>
        <v/>
      </c>
      <c r="G12" s="29">
        <f>B12/VLOOKUP(A12,Alimentos!$A:$L,3,FALSE)*VLOOKUP(A12,Alimentos!$A:$L,4,FALSE)</f>
        <v/>
      </c>
      <c r="H12" s="29">
        <f>E12/VLOOKUP(D12,Alimentos!$A:$L,3,FALSE)*VLOOKUP(D12,Alimentos!$A:$L,4,FALSE)</f>
        <v/>
      </c>
      <c r="I12" s="29">
        <f>H12-G12</f>
        <v/>
      </c>
      <c r="J12" s="29">
        <f>E12/VLOOKUP(D12,Alimentos!$A:$L,3,FALSE)*VLOOKUP(D12,Alimentos!$A:$L,5,FALSE)</f>
        <v/>
      </c>
      <c r="K12" s="29">
        <f>E12/VLOOKUP(D12,Alimentos!$A:$L,3,FALSE)*VLOOKUP(D12,Alimentos!$A:$L,6,FALSE)</f>
        <v/>
      </c>
      <c r="L12" s="29">
        <f>E12/VLOOKUP(D12,Alimentos!$A:$L,3,FALSE)*VLOOKUP(D12,Alimentos!$A:$L,7,FALSE)</f>
        <v/>
      </c>
      <c r="M12" s="18" t="n"/>
    </row>
    <row r="13" ht="21.75" customHeight="1">
      <c r="A13" s="30" t="inlineStr">
        <is>
          <t>Arroz branco cozido</t>
        </is>
      </c>
      <c r="B13" s="35" t="n">
        <v>150</v>
      </c>
      <c r="C13" s="35" t="inlineStr">
        <is>
          <t>Carboidrato</t>
        </is>
      </c>
      <c r="D13" s="35" t="inlineStr">
        <is>
          <t>Batata doce cozida</t>
        </is>
      </c>
      <c r="E13" s="29">
        <f>B13/VLOOKUP(A13,Alimentos!$A:$L,3,FALSE)*VLOOKUP(A13,Alimentos!$A:$L,IF(C13="Proteína",5,IF(C13="Carboidrato",6,7)),FALSE)/VLOOKUP(D13,Alimentos!$A:$L,IF(C13="Proteína",5,IF(C13="Carboidrato",6,7)),FALSE)*VLOOKUP(D13,Alimentos!$A:$L,3,FALSE)</f>
        <v/>
      </c>
      <c r="F13" s="29">
        <f>VLOOKUP(D13,Alimentos!$A:$L,2,FALSE)</f>
        <v/>
      </c>
      <c r="G13" s="29">
        <f>B13/VLOOKUP(A13,Alimentos!$A:$L,3,FALSE)*VLOOKUP(A13,Alimentos!$A:$L,4,FALSE)</f>
        <v/>
      </c>
      <c r="H13" s="29">
        <f>E13/VLOOKUP(D13,Alimentos!$A:$L,3,FALSE)*VLOOKUP(D13,Alimentos!$A:$L,4,FALSE)</f>
        <v/>
      </c>
      <c r="I13" s="29">
        <f>H13-G13</f>
        <v/>
      </c>
      <c r="J13" s="29">
        <f>E13/VLOOKUP(D13,Alimentos!$A:$L,3,FALSE)*VLOOKUP(D13,Alimentos!$A:$L,5,FALSE)</f>
        <v/>
      </c>
      <c r="K13" s="29">
        <f>E13/VLOOKUP(D13,Alimentos!$A:$L,3,FALSE)*VLOOKUP(D13,Alimentos!$A:$L,6,FALSE)</f>
        <v/>
      </c>
      <c r="L13" s="29">
        <f>E13/VLOOKUP(D13,Alimentos!$A:$L,3,FALSE)*VLOOKUP(D13,Alimentos!$A:$L,7,FALSE)</f>
        <v/>
      </c>
      <c r="M13" s="18" t="n"/>
    </row>
    <row r="14" ht="21.75" customHeight="1">
      <c r="A14" s="30" t="inlineStr">
        <is>
          <t>Pão integral</t>
        </is>
      </c>
      <c r="B14" s="35" t="n">
        <v>50</v>
      </c>
      <c r="C14" s="35" t="inlineStr">
        <is>
          <t>Carboidrato</t>
        </is>
      </c>
      <c r="D14" s="35" t="inlineStr">
        <is>
          <t>Aveia em flocos</t>
        </is>
      </c>
      <c r="E14" s="29">
        <f>B14/VLOOKUP(A14,Alimentos!$A:$L,3,FALSE)*VLOOKUP(A14,Alimentos!$A:$L,IF(C14="Proteína",5,IF(C14="Carboidrato",6,7)),FALSE)/VLOOKUP(D14,Alimentos!$A:$L,IF(C14="Proteína",5,IF(C14="Carboidrato",6,7)),FALSE)*VLOOKUP(D14,Alimentos!$A:$L,3,FALSE)</f>
        <v/>
      </c>
      <c r="F14" s="29">
        <f>VLOOKUP(D14,Alimentos!$A:$L,2,FALSE)</f>
        <v/>
      </c>
      <c r="G14" s="29">
        <f>B14/VLOOKUP(A14,Alimentos!$A:$L,3,FALSE)*VLOOKUP(A14,Alimentos!$A:$L,4,FALSE)</f>
        <v/>
      </c>
      <c r="H14" s="29">
        <f>E14/VLOOKUP(D14,Alimentos!$A:$L,3,FALSE)*VLOOKUP(D14,Alimentos!$A:$L,4,FALSE)</f>
        <v/>
      </c>
      <c r="I14" s="29">
        <f>H14-G14</f>
        <v/>
      </c>
      <c r="J14" s="29">
        <f>E14/VLOOKUP(D14,Alimentos!$A:$L,3,FALSE)*VLOOKUP(D14,Alimentos!$A:$L,5,FALSE)</f>
        <v/>
      </c>
      <c r="K14" s="29">
        <f>E14/VLOOKUP(D14,Alimentos!$A:$L,3,FALSE)*VLOOKUP(D14,Alimentos!$A:$L,6,FALSE)</f>
        <v/>
      </c>
      <c r="L14" s="29">
        <f>E14/VLOOKUP(D14,Alimentos!$A:$L,3,FALSE)*VLOOKUP(D14,Alimentos!$A:$L,7,FALSE)</f>
        <v/>
      </c>
      <c r="M14" s="18" t="n"/>
    </row>
    <row r="15" ht="21.75" customHeight="1">
      <c r="A15" s="30" t="inlineStr">
        <is>
          <t>Banana nanica</t>
        </is>
      </c>
      <c r="B15" s="35" t="n">
        <v>100</v>
      </c>
      <c r="C15" s="35" t="inlineStr">
        <is>
          <t>Carboidrato</t>
        </is>
      </c>
      <c r="D15" s="35" t="inlineStr">
        <is>
          <t>Laranja pera</t>
        </is>
      </c>
      <c r="E15" s="29">
        <f>B15/VLOOKUP(A15,Alimentos!$A:$L,3,FALSE)*VLOOKUP(A15,Alimentos!$A:$L,IF(C15="Proteína",5,IF(C15="Carboidrato",6,7)),FALSE)/VLOOKUP(D15,Alimentos!$A:$L,IF(C15="Proteína",5,IF(C15="Carboidrato",6,7)),FALSE)*VLOOKUP(D15,Alimentos!$A:$L,3,FALSE)</f>
        <v/>
      </c>
      <c r="F15" s="29">
        <f>VLOOKUP(D15,Alimentos!$A:$L,2,FALSE)</f>
        <v/>
      </c>
      <c r="G15" s="29">
        <f>B15/VLOOKUP(A15,Alimentos!$A:$L,3,FALSE)*VLOOKUP(A15,Alimentos!$A:$L,4,FALSE)</f>
        <v/>
      </c>
      <c r="H15" s="29">
        <f>E15/VLOOKUP(D15,Alimentos!$A:$L,3,FALSE)*VLOOKUP(D15,Alimentos!$A:$L,4,FALSE)</f>
        <v/>
      </c>
      <c r="I15" s="29">
        <f>H15-G15</f>
        <v/>
      </c>
      <c r="J15" s="29">
        <f>E15/VLOOKUP(D15,Alimentos!$A:$L,3,FALSE)*VLOOKUP(D15,Alimentos!$A:$L,5,FALSE)</f>
        <v/>
      </c>
      <c r="K15" s="29">
        <f>E15/VLOOKUP(D15,Alimentos!$A:$L,3,FALSE)*VLOOKUP(D15,Alimentos!$A:$L,6,FALSE)</f>
        <v/>
      </c>
      <c r="L15" s="29">
        <f>E15/VLOOKUP(D15,Alimentos!$A:$L,3,FALSE)*VLOOKUP(D15,Alimentos!$A:$L,7,FALSE)</f>
        <v/>
      </c>
      <c r="M15" s="18" t="n"/>
    </row>
    <row r="16" ht="21.75" customHeight="1">
      <c r="A16" s="30" t="inlineStr">
        <is>
          <t>Feijão carioca cozido</t>
        </is>
      </c>
      <c r="B16" s="35" t="n">
        <v>100</v>
      </c>
      <c r="C16" s="35" t="inlineStr">
        <is>
          <t>Carboidrato</t>
        </is>
      </c>
      <c r="D16" s="35" t="inlineStr">
        <is>
          <t>Feijão preto cozido</t>
        </is>
      </c>
      <c r="E16" s="29">
        <f>B16/VLOOKUP(A16,Alimentos!$A:$L,3,FALSE)*VLOOKUP(A16,Alimentos!$A:$L,IF(C16="Proteína",5,IF(C16="Carboidrato",6,7)),FALSE)/VLOOKUP(D16,Alimentos!$A:$L,IF(C16="Proteína",5,IF(C16="Carboidrato",6,7)),FALSE)*VLOOKUP(D16,Alimentos!$A:$L,3,FALSE)</f>
        <v/>
      </c>
      <c r="F16" s="29">
        <f>VLOOKUP(D16,Alimentos!$A:$L,2,FALSE)</f>
        <v/>
      </c>
      <c r="G16" s="29">
        <f>B16/VLOOKUP(A16,Alimentos!$A:$L,3,FALSE)*VLOOKUP(A16,Alimentos!$A:$L,4,FALSE)</f>
        <v/>
      </c>
      <c r="H16" s="29">
        <f>E16/VLOOKUP(D16,Alimentos!$A:$L,3,FALSE)*VLOOKUP(D16,Alimentos!$A:$L,4,FALSE)</f>
        <v/>
      </c>
      <c r="I16" s="29">
        <f>H16-G16</f>
        <v/>
      </c>
      <c r="J16" s="29">
        <f>E16/VLOOKUP(D16,Alimentos!$A:$L,3,FALSE)*VLOOKUP(D16,Alimentos!$A:$L,5,FALSE)</f>
        <v/>
      </c>
      <c r="K16" s="29">
        <f>E16/VLOOKUP(D16,Alimentos!$A:$L,3,FALSE)*VLOOKUP(D16,Alimentos!$A:$L,6,FALSE)</f>
        <v/>
      </c>
      <c r="L16" s="29">
        <f>E16/VLOOKUP(D16,Alimentos!$A:$L,3,FALSE)*VLOOKUP(D16,Alimentos!$A:$L,7,FALSE)</f>
        <v/>
      </c>
      <c r="M16" s="18" t="n"/>
    </row>
    <row r="17" ht="21.75" customHeight="1">
      <c r="A17" s="30" t="inlineStr">
        <is>
          <t>Feijão carioca cozido</t>
        </is>
      </c>
      <c r="B17" s="35" t="n">
        <v>100</v>
      </c>
      <c r="C17" s="35" t="inlineStr">
        <is>
          <t>Carboidrato</t>
        </is>
      </c>
      <c r="D17" s="35" t="inlineStr">
        <is>
          <t>Lentilha cozida</t>
        </is>
      </c>
      <c r="E17" s="29">
        <f>B17/VLOOKUP(A17,Alimentos!$A:$L,3,FALSE)*VLOOKUP(A17,Alimentos!$A:$L,IF(C17="Proteína",5,IF(C17="Carboidrato",6,7)),FALSE)/VLOOKUP(D17,Alimentos!$A:$L,IF(C17="Proteína",5,IF(C17="Carboidrato",6,7)),FALSE)*VLOOKUP(D17,Alimentos!$A:$L,3,FALSE)</f>
        <v/>
      </c>
      <c r="F17" s="29">
        <f>VLOOKUP(D17,Alimentos!$A:$L,2,FALSE)</f>
        <v/>
      </c>
      <c r="G17" s="29">
        <f>B17/VLOOKUP(A17,Alimentos!$A:$L,3,FALSE)*VLOOKUP(A17,Alimentos!$A:$L,4,FALSE)</f>
        <v/>
      </c>
      <c r="H17" s="29">
        <f>E17/VLOOKUP(D17,Alimentos!$A:$L,3,FALSE)*VLOOKUP(D17,Alimentos!$A:$L,4,FALSE)</f>
        <v/>
      </c>
      <c r="I17" s="29">
        <f>H17-G17</f>
        <v/>
      </c>
      <c r="J17" s="29">
        <f>E17/VLOOKUP(D17,Alimentos!$A:$L,3,FALSE)*VLOOKUP(D17,Alimentos!$A:$L,5,FALSE)</f>
        <v/>
      </c>
      <c r="K17" s="29">
        <f>E17/VLOOKUP(D17,Alimentos!$A:$L,3,FALSE)*VLOOKUP(D17,Alimentos!$A:$L,6,FALSE)</f>
        <v/>
      </c>
      <c r="L17" s="29">
        <f>E17/VLOOKUP(D17,Alimentos!$A:$L,3,FALSE)*VLOOKUP(D17,Alimentos!$A:$L,7,FALSE)</f>
        <v/>
      </c>
      <c r="M17" s="18" t="n"/>
    </row>
    <row r="18" ht="21.75" customHeight="1">
      <c r="A18" s="18" t="inlineStr">
        <is>
          <t>Peito de frango cozido</t>
        </is>
      </c>
      <c r="B18" s="18" t="n">
        <v>100</v>
      </c>
      <c r="C18" s="18" t="inlineStr">
        <is>
          <t>Proteína</t>
        </is>
      </c>
      <c r="D18" s="18" t="inlineStr">
        <is>
          <t>Carne bovina patinho grelhado</t>
        </is>
      </c>
      <c r="E18" s="18">
        <f>B18/VLOOKUP(A18,Alimentos!$A:$L,3,FALSE)*VLOOKUP(A18,Alimentos!$A:$L,IF(C18="Proteína",5,IF(C18="Carboidrato",6,7)),FALSE)/VLOOKUP(D18,Alimentos!$A:$L,IF(C18="Proteína",5,IF(C18="Carboidrato",6,7)),FALSE)*VLOOKUP(D18,Alimentos!$A:$L,3,FALSE)</f>
        <v/>
      </c>
      <c r="F18" s="18">
        <f>VLOOKUP(D18,Alimentos!$A:$L,2,FALSE)</f>
        <v/>
      </c>
      <c r="G18" s="18">
        <f>B18/VLOOKUP(A18,Alimentos!$A:$L,3,FALSE)*VLOOKUP(A18,Alimentos!$A:$L,4,FALSE)</f>
        <v/>
      </c>
      <c r="H18" s="18">
        <f>E18/VLOOKUP(D18,Alimentos!$A:$L,3,FALSE)*VLOOKUP(D18,Alimentos!$A:$L,4,FALSE)</f>
        <v/>
      </c>
      <c r="I18" s="18">
        <f>H18-G18</f>
        <v/>
      </c>
      <c r="J18" s="18">
        <f>E18/VLOOKUP(D18,Alimentos!$A:$L,3,FALSE)*VLOOKUP(D18,Alimentos!$A:$L,5,FALSE)</f>
        <v/>
      </c>
      <c r="K18" s="18">
        <f>E18/VLOOKUP(D18,Alimentos!$A:$L,3,FALSE)*VLOOKUP(D18,Alimentos!$A:$L,6,FALSE)</f>
        <v/>
      </c>
      <c r="L18" s="18">
        <f>E18/VLOOKUP(D18,Alimentos!$A:$L,3,FALSE)*VLOOKUP(D18,Alimentos!$A:$L,7,FALSE)</f>
        <v/>
      </c>
      <c r="M18" s="18" t="inlineStr">
        <is>
          <t>Patinho moído ou bife magro; pesar pronto sem óleo.</t>
        </is>
      </c>
    </row>
    <row r="19" ht="21.75" customHeight="1">
      <c r="A19" s="18" t="inlineStr">
        <is>
          <t>Peito de frango cozido</t>
        </is>
      </c>
      <c r="B19" s="18" t="n">
        <v>100</v>
      </c>
      <c r="C19" s="18" t="inlineStr">
        <is>
          <t>Proteína</t>
        </is>
      </c>
      <c r="D19" s="18" t="inlineStr">
        <is>
          <t>Filé de tilápia grelhado</t>
        </is>
      </c>
      <c r="E19" s="18">
        <f>B19/VLOOKUP(A19,Alimentos!$A:$L,3,FALSE)*VLOOKUP(A19,Alimentos!$A:$L,IF(C19="Proteína",5,IF(C19="Carboidrato",6,7)),FALSE)/VLOOKUP(D19,Alimentos!$A:$L,IF(C19="Proteína",5,IF(C19="Carboidrato",6,7)),FALSE)*VLOOKUP(D19,Alimentos!$A:$L,3,FALSE)</f>
        <v/>
      </c>
      <c r="F19" s="18">
        <f>VLOOKUP(D19,Alimentos!$A:$L,2,FALSE)</f>
        <v/>
      </c>
      <c r="G19" s="18">
        <f>B19/VLOOKUP(A19,Alimentos!$A:$L,3,FALSE)*VLOOKUP(A19,Alimentos!$A:$L,4,FALSE)</f>
        <v/>
      </c>
      <c r="H19" s="18">
        <f>E19/VLOOKUP(D19,Alimentos!$A:$L,3,FALSE)*VLOOKUP(D19,Alimentos!$A:$L,4,FALSE)</f>
        <v/>
      </c>
      <c r="I19" s="18">
        <f>H19-G19</f>
        <v/>
      </c>
      <c r="J19" s="18">
        <f>E19/VLOOKUP(D19,Alimentos!$A:$L,3,FALSE)*VLOOKUP(D19,Alimentos!$A:$L,5,FALSE)</f>
        <v/>
      </c>
      <c r="K19" s="18">
        <f>E19/VLOOKUP(D19,Alimentos!$A:$L,3,FALSE)*VLOOKUP(D19,Alimentos!$A:$L,6,FALSE)</f>
        <v/>
      </c>
      <c r="L19" s="18">
        <f>E19/VLOOKUP(D19,Alimentos!$A:$L,3,FALSE)*VLOOKUP(D19,Alimentos!$A:$L,7,FALSE)</f>
        <v/>
      </c>
      <c r="M19" s="18" t="inlineStr">
        <is>
          <t>Pesar pronto sem óleo.</t>
        </is>
      </c>
    </row>
    <row r="20" ht="21.75" customHeight="1">
      <c r="A20" s="18" t="inlineStr">
        <is>
          <t>Peito de frango cozido</t>
        </is>
      </c>
      <c r="B20" s="18" t="n">
        <v>100</v>
      </c>
      <c r="C20" s="18" t="inlineStr">
        <is>
          <t>Proteína</t>
        </is>
      </c>
      <c r="D20" s="18" t="inlineStr">
        <is>
          <t>Atum ralado em conserva em água</t>
        </is>
      </c>
      <c r="E20" s="18">
        <f>B20/VLOOKUP(A20,Alimentos!$A:$L,3,FALSE)*VLOOKUP(A20,Alimentos!$A:$L,IF(C20="Proteína",5,IF(C20="Carboidrato",6,7)),FALSE)/VLOOKUP(D20,Alimentos!$A:$L,IF(C20="Proteína",5,IF(C20="Carboidrato",6,7)),FALSE)*VLOOKUP(D20,Alimentos!$A:$L,3,FALSE)</f>
        <v/>
      </c>
      <c r="F20" s="18">
        <f>VLOOKUP(D20,Alimentos!$A:$L,2,FALSE)</f>
        <v/>
      </c>
      <c r="G20" s="18">
        <f>B20/VLOOKUP(A20,Alimentos!$A:$L,3,FALSE)*VLOOKUP(A20,Alimentos!$A:$L,4,FALSE)</f>
        <v/>
      </c>
      <c r="H20" s="18">
        <f>E20/VLOOKUP(D20,Alimentos!$A:$L,3,FALSE)*VLOOKUP(D20,Alimentos!$A:$L,4,FALSE)</f>
        <v/>
      </c>
      <c r="I20" s="18">
        <f>H20-G20</f>
        <v/>
      </c>
      <c r="J20" s="18">
        <f>E20/VLOOKUP(D20,Alimentos!$A:$L,3,FALSE)*VLOOKUP(D20,Alimentos!$A:$L,5,FALSE)</f>
        <v/>
      </c>
      <c r="K20" s="18">
        <f>E20/VLOOKUP(D20,Alimentos!$A:$L,3,FALSE)*VLOOKUP(D20,Alimentos!$A:$L,6,FALSE)</f>
        <v/>
      </c>
      <c r="L20" s="18">
        <f>E20/VLOOKUP(D20,Alimentos!$A:$L,3,FALSE)*VLOOKUP(D20,Alimentos!$A:$L,7,FALSE)</f>
        <v/>
      </c>
      <c r="M20" s="18" t="inlineStr">
        <is>
          <t>Pesar bem escorrido.</t>
        </is>
      </c>
    </row>
    <row r="21" ht="21.75" customHeight="1">
      <c r="A21" s="18" t="inlineStr">
        <is>
          <t>Arroz branco cozido</t>
        </is>
      </c>
      <c r="B21" s="18" t="n">
        <v>150</v>
      </c>
      <c r="C21" s="18" t="inlineStr">
        <is>
          <t>Carboidrato</t>
        </is>
      </c>
      <c r="D21" s="18" t="inlineStr">
        <is>
          <t>Mandioca cozida</t>
        </is>
      </c>
      <c r="E21" s="18">
        <f>B21/VLOOKUP(A21,Alimentos!$A:$L,3,FALSE)*VLOOKUP(A21,Alimentos!$A:$L,IF(C21="Proteína",5,IF(C21="Carboidrato",6,7)),FALSE)/VLOOKUP(D21,Alimentos!$A:$L,IF(C21="Proteína",5,IF(C21="Carboidrato",6,7)),FALSE)*VLOOKUP(D21,Alimentos!$A:$L,3,FALSE)</f>
        <v/>
      </c>
      <c r="F21" s="18">
        <f>VLOOKUP(D21,Alimentos!$A:$L,2,FALSE)</f>
        <v/>
      </c>
      <c r="G21" s="18">
        <f>B21/VLOOKUP(A21,Alimentos!$A:$L,3,FALSE)*VLOOKUP(A21,Alimentos!$A:$L,4,FALSE)</f>
        <v/>
      </c>
      <c r="H21" s="18">
        <f>E21/VLOOKUP(D21,Alimentos!$A:$L,3,FALSE)*VLOOKUP(D21,Alimentos!$A:$L,4,FALSE)</f>
        <v/>
      </c>
      <c r="I21" s="18">
        <f>H21-G21</f>
        <v/>
      </c>
      <c r="J21" s="18">
        <f>E21/VLOOKUP(D21,Alimentos!$A:$L,3,FALSE)*VLOOKUP(D21,Alimentos!$A:$L,5,FALSE)</f>
        <v/>
      </c>
      <c r="K21" s="18">
        <f>E21/VLOOKUP(D21,Alimentos!$A:$L,3,FALSE)*VLOOKUP(D21,Alimentos!$A:$L,6,FALSE)</f>
        <v/>
      </c>
      <c r="L21" s="18">
        <f>E21/VLOOKUP(D21,Alimentos!$A:$L,3,FALSE)*VLOOKUP(D21,Alimentos!$A:$L,7,FALSE)</f>
        <v/>
      </c>
      <c r="M21" s="18" t="inlineStr">
        <is>
          <t>Aipim/macaxeira cozida sem óleo.</t>
        </is>
      </c>
    </row>
    <row r="22" ht="21.75" customHeight="1">
      <c r="A22" s="18" t="inlineStr">
        <is>
          <t>Arroz branco cozido</t>
        </is>
      </c>
      <c r="B22" s="18" t="n">
        <v>150</v>
      </c>
      <c r="C22" s="18" t="inlineStr">
        <is>
          <t>Carboidrato</t>
        </is>
      </c>
      <c r="D22" s="18" t="inlineStr">
        <is>
          <t>Macarrão de sêmola cozido</t>
        </is>
      </c>
      <c r="E22" s="18">
        <f>B22/VLOOKUP(A22,Alimentos!$A:$L,3,FALSE)*VLOOKUP(A22,Alimentos!$A:$L,IF(C22="Proteína",5,IF(C22="Carboidrato",6,7)),FALSE)/VLOOKUP(D22,Alimentos!$A:$L,IF(C22="Proteína",5,IF(C22="Carboidrato",6,7)),FALSE)*VLOOKUP(D22,Alimentos!$A:$L,3,FALSE)</f>
        <v/>
      </c>
      <c r="F22" s="18">
        <f>VLOOKUP(D22,Alimentos!$A:$L,2,FALSE)</f>
        <v/>
      </c>
      <c r="G22" s="18">
        <f>B22/VLOOKUP(A22,Alimentos!$A:$L,3,FALSE)*VLOOKUP(A22,Alimentos!$A:$L,4,FALSE)</f>
        <v/>
      </c>
      <c r="H22" s="18">
        <f>E22/VLOOKUP(D22,Alimentos!$A:$L,3,FALSE)*VLOOKUP(D22,Alimentos!$A:$L,4,FALSE)</f>
        <v/>
      </c>
      <c r="I22" s="18">
        <f>H22-G22</f>
        <v/>
      </c>
      <c r="J22" s="18">
        <f>E22/VLOOKUP(D22,Alimentos!$A:$L,3,FALSE)*VLOOKUP(D22,Alimentos!$A:$L,5,FALSE)</f>
        <v/>
      </c>
      <c r="K22" s="18">
        <f>E22/VLOOKUP(D22,Alimentos!$A:$L,3,FALSE)*VLOOKUP(D22,Alimentos!$A:$L,6,FALSE)</f>
        <v/>
      </c>
      <c r="L22" s="18">
        <f>E22/VLOOKUP(D22,Alimentos!$A:$L,3,FALSE)*VLOOKUP(D22,Alimentos!$A:$L,7,FALSE)</f>
        <v/>
      </c>
      <c r="M22" s="18" t="inlineStr">
        <is>
          <t>Pesar cozido; molho contabilizado à parte.</t>
        </is>
      </c>
    </row>
    <row r="23" ht="21.75" customHeight="1">
      <c r="A23" s="18" t="inlineStr">
        <is>
          <t>Arroz branco cozido</t>
        </is>
      </c>
      <c r="B23" s="18" t="n">
        <v>150</v>
      </c>
      <c r="C23" s="18" t="inlineStr">
        <is>
          <t>Carboidrato</t>
        </is>
      </c>
      <c r="D23" s="18" t="inlineStr">
        <is>
          <t>Cuscuz de milho cozido</t>
        </is>
      </c>
      <c r="E23" s="18">
        <f>B23/VLOOKUP(A23,Alimentos!$A:$L,3,FALSE)*VLOOKUP(A23,Alimentos!$A:$L,IF(C23="Proteína",5,IF(C23="Carboidrato",6,7)),FALSE)/VLOOKUP(D23,Alimentos!$A:$L,IF(C23="Proteína",5,IF(C23="Carboidrato",6,7)),FALSE)*VLOOKUP(D23,Alimentos!$A:$L,3,FALSE)</f>
        <v/>
      </c>
      <c r="F23" s="18">
        <f>VLOOKUP(D23,Alimentos!$A:$L,2,FALSE)</f>
        <v/>
      </c>
      <c r="G23" s="18">
        <f>B23/VLOOKUP(A23,Alimentos!$A:$L,3,FALSE)*VLOOKUP(A23,Alimentos!$A:$L,4,FALSE)</f>
        <v/>
      </c>
      <c r="H23" s="18">
        <f>E23/VLOOKUP(D23,Alimentos!$A:$L,3,FALSE)*VLOOKUP(D23,Alimentos!$A:$L,4,FALSE)</f>
        <v/>
      </c>
      <c r="I23" s="18">
        <f>H23-G23</f>
        <v/>
      </c>
      <c r="J23" s="18">
        <f>E23/VLOOKUP(D23,Alimentos!$A:$L,3,FALSE)*VLOOKUP(D23,Alimentos!$A:$L,5,FALSE)</f>
        <v/>
      </c>
      <c r="K23" s="18">
        <f>E23/VLOOKUP(D23,Alimentos!$A:$L,3,FALSE)*VLOOKUP(D23,Alimentos!$A:$L,6,FALSE)</f>
        <v/>
      </c>
      <c r="L23" s="18">
        <f>E23/VLOOKUP(D23,Alimentos!$A:$L,3,FALSE)*VLOOKUP(D23,Alimentos!$A:$L,7,FALSE)</f>
        <v/>
      </c>
      <c r="M23" s="18" t="inlineStr">
        <is>
          <t>Pesar cozido; manteiga contabilizada à parte.</t>
        </is>
      </c>
    </row>
    <row r="24" ht="21.75" customHeight="1">
      <c r="A24" s="18" t="inlineStr">
        <is>
          <t>Azeite</t>
        </is>
      </c>
      <c r="B24" s="18" t="n">
        <v>10</v>
      </c>
      <c r="C24" s="18" t="inlineStr">
        <is>
          <t>Gordura</t>
        </is>
      </c>
      <c r="D24" s="18" t="inlineStr">
        <is>
          <t>Pasta de amendoim integral</t>
        </is>
      </c>
      <c r="E24" s="18">
        <f>B24/VLOOKUP(A24,Alimentos!$A:$L,3,FALSE)*VLOOKUP(A24,Alimentos!$A:$L,IF(C24="Proteína",5,IF(C24="Carboidrato",6,7)),FALSE)/VLOOKUP(D24,Alimentos!$A:$L,IF(C24="Proteína",5,IF(C24="Carboidrato",6,7)),FALSE)*VLOOKUP(D24,Alimentos!$A:$L,3,FALSE)</f>
        <v/>
      </c>
      <c r="F24" s="18">
        <f>VLOOKUP(D24,Alimentos!$A:$L,2,FALSE)</f>
        <v/>
      </c>
      <c r="G24" s="18">
        <f>B24/VLOOKUP(A24,Alimentos!$A:$L,3,FALSE)*VLOOKUP(A24,Alimentos!$A:$L,4,FALSE)</f>
        <v/>
      </c>
      <c r="H24" s="18">
        <f>E24/VLOOKUP(D24,Alimentos!$A:$L,3,FALSE)*VLOOKUP(D24,Alimentos!$A:$L,4,FALSE)</f>
        <v/>
      </c>
      <c r="I24" s="18">
        <f>H24-G24</f>
        <v/>
      </c>
      <c r="J24" s="18">
        <f>E24/VLOOKUP(D24,Alimentos!$A:$L,3,FALSE)*VLOOKUP(D24,Alimentos!$A:$L,5,FALSE)</f>
        <v/>
      </c>
      <c r="K24" s="18">
        <f>E24/VLOOKUP(D24,Alimentos!$A:$L,3,FALSE)*VLOOKUP(D24,Alimentos!$A:$L,6,FALSE)</f>
        <v/>
      </c>
      <c r="L24" s="18">
        <f>E24/VLOOKUP(D24,Alimentos!$A:$L,3,FALSE)*VLOOKUP(D24,Alimentos!$A:$L,7,FALSE)</f>
        <v/>
      </c>
      <c r="M24" s="18" t="inlineStr">
        <is>
          <t>Atenção: adiciona 5 g de proteína e 4 g de carbo.</t>
        </is>
      </c>
    </row>
    <row r="25" ht="21.75" customHeight="1">
      <c r="A25" s="18" t="inlineStr">
        <is>
          <t>Azeite</t>
        </is>
      </c>
      <c r="B25" s="18" t="n">
        <v>10</v>
      </c>
      <c r="C25" s="18" t="inlineStr">
        <is>
          <t>Gordura</t>
        </is>
      </c>
      <c r="D25" s="18" t="inlineStr">
        <is>
          <t>Castanha-do-pará</t>
        </is>
      </c>
      <c r="E25" s="18">
        <f>B25/VLOOKUP(A25,Alimentos!$A:$L,3,FALSE)*VLOOKUP(A25,Alimentos!$A:$L,IF(C25="Proteína",5,IF(C25="Carboidrato",6,7)),FALSE)/VLOOKUP(D25,Alimentos!$A:$L,IF(C25="Proteína",5,IF(C25="Carboidrato",6,7)),FALSE)*VLOOKUP(D25,Alimentos!$A:$L,3,FALSE)</f>
        <v/>
      </c>
      <c r="F25" s="18">
        <f>VLOOKUP(D25,Alimentos!$A:$L,2,FALSE)</f>
        <v/>
      </c>
      <c r="G25" s="18">
        <f>B25/VLOOKUP(A25,Alimentos!$A:$L,3,FALSE)*VLOOKUP(A25,Alimentos!$A:$L,4,FALSE)</f>
        <v/>
      </c>
      <c r="H25" s="18">
        <f>E25/VLOOKUP(D25,Alimentos!$A:$L,3,FALSE)*VLOOKUP(D25,Alimentos!$A:$L,4,FALSE)</f>
        <v/>
      </c>
      <c r="I25" s="18">
        <f>H25-G25</f>
        <v/>
      </c>
      <c r="J25" s="18">
        <f>E25/VLOOKUP(D25,Alimentos!$A:$L,3,FALSE)*VLOOKUP(D25,Alimentos!$A:$L,5,FALSE)</f>
        <v/>
      </c>
      <c r="K25" s="18">
        <f>E25/VLOOKUP(D25,Alimentos!$A:$L,3,FALSE)*VLOOKUP(D25,Alimentos!$A:$L,6,FALSE)</f>
        <v/>
      </c>
      <c r="L25" s="18">
        <f>E25/VLOOKUP(D25,Alimentos!$A:$L,3,FALSE)*VLOOKUP(D25,Alimentos!$A:$L,7,FALSE)</f>
        <v/>
      </c>
      <c r="M25" s="18" t="inlineStr">
        <is>
          <t>Aproximadamente 3 unidades médias.</t>
        </is>
      </c>
    </row>
    <row r="26" ht="21.75" customHeight="1">
      <c r="A26" s="18" t="n"/>
      <c r="B26" s="18" t="n"/>
      <c r="C26" s="18" t="n"/>
      <c r="D26" s="18" t="n"/>
      <c r="E26" s="18" t="n"/>
      <c r="F26" s="18" t="n"/>
      <c r="G26" s="18" t="n"/>
      <c r="H26" s="18" t="n"/>
      <c r="I26" s="18" t="n"/>
      <c r="J26" s="18" t="n"/>
      <c r="K26" s="18" t="n"/>
      <c r="L26" s="18" t="n"/>
      <c r="M26" s="18" t="n"/>
    </row>
    <row r="27" ht="21.75" customHeight="1">
      <c r="A27" s="18" t="n"/>
      <c r="B27" s="18" t="n"/>
      <c r="C27" s="18" t="n"/>
      <c r="D27" s="18" t="n"/>
      <c r="E27" s="18" t="n"/>
      <c r="F27" s="18" t="n"/>
      <c r="G27" s="18" t="n"/>
      <c r="H27" s="18" t="n"/>
      <c r="I27" s="18" t="n"/>
      <c r="J27" s="18" t="n"/>
      <c r="K27" s="18" t="n"/>
      <c r="L27" s="18" t="n"/>
      <c r="M27" s="18" t="n"/>
    </row>
    <row r="28" ht="21.75" customHeight="1">
      <c r="A28" s="18" t="n"/>
      <c r="B28" s="18" t="n"/>
      <c r="C28" s="18" t="n"/>
      <c r="D28" s="18" t="n"/>
      <c r="E28" s="18" t="n"/>
      <c r="F28" s="18" t="n"/>
      <c r="G28" s="18" t="n"/>
      <c r="H28" s="18" t="n"/>
      <c r="I28" s="18" t="n"/>
      <c r="J28" s="18" t="n"/>
      <c r="K28" s="18" t="n"/>
      <c r="L28" s="18" t="n"/>
      <c r="M28" s="18" t="n"/>
    </row>
    <row r="29" ht="21.75" customHeight="1">
      <c r="A29" s="18" t="n"/>
      <c r="B29" s="18" t="n"/>
      <c r="C29" s="18" t="n"/>
      <c r="D29" s="18" t="n"/>
      <c r="E29" s="18" t="n"/>
      <c r="F29" s="18" t="n"/>
      <c r="G29" s="18" t="n"/>
      <c r="H29" s="18" t="n"/>
      <c r="I29" s="18" t="n"/>
      <c r="J29" s="18" t="n"/>
      <c r="K29" s="18" t="n"/>
      <c r="L29" s="18" t="n"/>
      <c r="M29" s="18" t="n"/>
    </row>
    <row r="30" ht="21.75" customHeight="1">
      <c r="A30" s="18" t="n"/>
      <c r="B30" s="18" t="n"/>
      <c r="C30" s="18" t="n"/>
      <c r="D30" s="18" t="n"/>
      <c r="E30" s="18" t="n"/>
      <c r="F30" s="18" t="n"/>
      <c r="G30" s="18" t="n"/>
      <c r="H30" s="18" t="n"/>
      <c r="I30" s="18" t="n"/>
      <c r="J30" s="18" t="n"/>
      <c r="K30" s="18" t="n"/>
      <c r="L30" s="18" t="n"/>
      <c r="M30" s="18" t="n"/>
    </row>
    <row r="31" ht="21.75" customHeight="1">
      <c r="A31" s="18" t="n"/>
      <c r="B31" s="18" t="n"/>
      <c r="C31" s="18" t="n"/>
      <c r="D31" s="18" t="n"/>
      <c r="E31" s="18" t="n"/>
      <c r="F31" s="18" t="n"/>
      <c r="G31" s="18" t="n"/>
      <c r="H31" s="18" t="n"/>
      <c r="I31" s="18" t="n"/>
      <c r="J31" s="18" t="n"/>
      <c r="K31" s="18" t="n"/>
      <c r="L31" s="18" t="n"/>
      <c r="M31" s="18" t="n"/>
    </row>
    <row r="32" ht="21.75" customHeight="1">
      <c r="A32" s="18" t="n"/>
      <c r="B32" s="18" t="n"/>
      <c r="C32" s="18" t="n"/>
      <c r="D32" s="18" t="n"/>
      <c r="E32" s="18" t="n"/>
      <c r="F32" s="18" t="n"/>
      <c r="G32" s="18" t="n"/>
      <c r="H32" s="18" t="n"/>
      <c r="I32" s="18" t="n"/>
      <c r="J32" s="18" t="n"/>
      <c r="K32" s="18" t="n"/>
      <c r="L32" s="18" t="n"/>
      <c r="M32" s="18" t="n"/>
    </row>
    <row r="33" ht="21.75" customHeight="1">
      <c r="A33" s="18" t="n"/>
      <c r="B33" s="18" t="n"/>
      <c r="C33" s="18" t="n"/>
      <c r="D33" s="18" t="n"/>
      <c r="E33" s="18" t="n"/>
      <c r="F33" s="18" t="n"/>
      <c r="G33" s="18" t="n"/>
      <c r="H33" s="18" t="n"/>
      <c r="I33" s="18" t="n"/>
      <c r="J33" s="18" t="n"/>
      <c r="K33" s="18" t="n"/>
      <c r="L33" s="18" t="n"/>
      <c r="M33" s="18" t="n"/>
    </row>
    <row r="34" ht="21.75" customHeight="1">
      <c r="A34" s="18" t="n"/>
      <c r="B34" s="18" t="n"/>
      <c r="C34" s="18" t="n"/>
      <c r="D34" s="18" t="n"/>
      <c r="E34" s="18" t="n"/>
      <c r="F34" s="18" t="n"/>
      <c r="G34" s="18" t="n"/>
      <c r="H34" s="18" t="n"/>
      <c r="I34" s="18" t="n"/>
      <c r="J34" s="18" t="n"/>
      <c r="K34" s="18" t="n"/>
      <c r="L34" s="18" t="n"/>
      <c r="M34" s="18" t="n"/>
    </row>
    <row r="35" ht="21.75" customHeight="1">
      <c r="A35" s="18" t="n"/>
      <c r="B35" s="18" t="n"/>
      <c r="C35" s="18" t="n"/>
      <c r="D35" s="18" t="n"/>
      <c r="E35" s="18" t="n"/>
      <c r="F35" s="18" t="n"/>
      <c r="G35" s="18" t="n"/>
      <c r="H35" s="18" t="n"/>
      <c r="I35" s="18" t="n"/>
      <c r="J35" s="18" t="n"/>
      <c r="K35" s="18" t="n"/>
      <c r="L35" s="18" t="n"/>
      <c r="M35" s="18" t="n"/>
    </row>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dataValidations count="2">
    <dataValidation sqref="A6:A1000 D6:D1000" showDropDown="0" showInputMessage="1" showErrorMessage="1" allowBlank="1" prompt="Escolha uma opção cadastrada." type="list">
      <formula1>Alimentos!$A$6:$A$1000</formula1>
    </dataValidation>
    <dataValidation sqref="C6:C17" showDropDown="0" showInputMessage="0" showErrorMessage="0" allowBlank="1" type="list">
      <formula1>"Proteína,Carboidrato"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6"/>
  <sheetViews>
    <sheetView showGridLines="0" workbookViewId="0">
      <selection activeCell="A1" sqref="A1"/>
    </sheetView>
  </sheetViews>
  <sheetFormatPr baseColWidth="8" defaultRowHeight="15"/>
  <cols>
    <col width="14.02" customWidth="1" min="1" max="1"/>
    <col width="21.98" customWidth="1" min="2" max="2"/>
    <col width="34.99" customWidth="1" min="3" max="3"/>
    <col width="14.02" customWidth="1" min="4" max="4"/>
    <col width="12" customWidth="1" min="5" max="5"/>
    <col width="13.01" customWidth="1" min="6" max="6"/>
    <col width="15.03" customWidth="1" min="7" max="7"/>
    <col width="17.05" customWidth="1" min="8" max="8"/>
    <col width="14.02" customWidth="1" min="9" max="9"/>
    <col width="12" customWidth="1" min="10" max="10"/>
    <col width="19.96" customWidth="1" min="11" max="11"/>
    <col width="50.01" customWidth="1" min="12" max="12"/>
    <col width="28.04" customWidth="1" min="13" max="13"/>
    <col width="8.59" customWidth="1" min="14" max="14"/>
    <col width="8.59"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s>
  <sheetData>
    <row r="1" ht="21.75" customHeight="1">
      <c r="A1" s="18" t="n"/>
      <c r="B1" s="18" t="n"/>
      <c r="C1" s="18" t="n"/>
      <c r="D1" s="18" t="n"/>
      <c r="E1" s="18" t="n"/>
      <c r="F1" s="18" t="n"/>
      <c r="G1" s="18" t="n"/>
      <c r="H1" s="18" t="n"/>
      <c r="I1" s="18" t="n"/>
      <c r="J1" s="18" t="n"/>
      <c r="K1" s="18" t="n"/>
      <c r="L1" s="18" t="n"/>
      <c r="M1" s="18" t="n"/>
    </row>
    <row r="2" ht="21.75" customHeight="1">
      <c r="A2" s="19" t="inlineStr">
        <is>
          <t>Registro diário de alimentação</t>
        </is>
      </c>
      <c r="B2" s="18" t="n"/>
      <c r="C2" s="18" t="n"/>
      <c r="D2" s="18" t="n"/>
      <c r="E2" s="18" t="n"/>
      <c r="F2" s="18" t="n"/>
      <c r="G2" s="18" t="n"/>
      <c r="H2" s="18" t="n"/>
      <c r="I2" s="18" t="n"/>
      <c r="J2" s="18" t="n"/>
      <c r="K2" s="18" t="n"/>
      <c r="L2" s="18" t="n"/>
      <c r="M2" s="18" t="n"/>
    </row>
    <row r="3" ht="21.75" customHeight="1">
      <c r="A3" s="20" t="inlineStr">
        <is>
          <t>Consumo confirmado. Quantidades na unidade-base. Sem cálculo = macros desconhecidos, nunca zero.</t>
        </is>
      </c>
      <c r="B3" s="18" t="n"/>
      <c r="C3" s="18" t="n"/>
      <c r="D3" s="18" t="n"/>
      <c r="E3" s="18" t="n"/>
      <c r="F3" s="18" t="n"/>
      <c r="G3" s="18" t="n"/>
      <c r="H3" s="18" t="n"/>
      <c r="I3" s="18" t="n"/>
      <c r="J3" s="18" t="n"/>
      <c r="K3" s="18" t="n"/>
      <c r="L3" s="18" t="n"/>
      <c r="M3" s="18" t="n"/>
    </row>
    <row r="4" ht="21.75" customHeight="1">
      <c r="A4" s="18" t="n"/>
      <c r="B4" s="18" t="n"/>
      <c r="C4" s="18" t="n"/>
      <c r="D4" s="18" t="n"/>
      <c r="E4" s="18" t="n"/>
      <c r="F4" s="18" t="n"/>
      <c r="G4" s="18" t="n"/>
      <c r="H4" s="18" t="n"/>
      <c r="I4" s="18" t="n"/>
      <c r="J4" s="18" t="n"/>
      <c r="K4" s="18" t="n"/>
      <c r="L4" s="18" t="n"/>
      <c r="M4" s="18" t="n"/>
    </row>
    <row r="5" ht="37.5" customHeight="1">
      <c r="A5" s="31" t="inlineStr">
        <is>
          <t>Data</t>
        </is>
      </c>
      <c r="B5" s="31" t="inlineStr">
        <is>
          <t>Refeição</t>
        </is>
      </c>
      <c r="C5" s="31" t="inlineStr">
        <is>
          <t>Alimento</t>
        </is>
      </c>
      <c r="D5" s="31" t="inlineStr">
        <is>
          <t>Quantidade</t>
        </is>
      </c>
      <c r="E5" s="31" t="inlineStr">
        <is>
          <t>Unidade</t>
        </is>
      </c>
      <c r="F5" s="31" t="inlineStr">
        <is>
          <t>kcal</t>
        </is>
      </c>
      <c r="G5" s="31" t="inlineStr">
        <is>
          <t>Proteína g</t>
        </is>
      </c>
      <c r="H5" s="31" t="inlineStr">
        <is>
          <t>Carboidrato g</t>
        </is>
      </c>
      <c r="I5" s="31" t="inlineStr">
        <is>
          <t>Gordura g</t>
        </is>
      </c>
      <c r="J5" s="31" t="inlineStr">
        <is>
          <t>Fibra g</t>
        </is>
      </c>
      <c r="K5" s="31" t="inlineStr">
        <is>
          <t>Medição</t>
        </is>
      </c>
      <c r="L5" s="31" t="inlineStr">
        <is>
          <t>Observação</t>
        </is>
      </c>
      <c r="M5" s="31" t="inlineStr">
        <is>
          <t>Conferência</t>
        </is>
      </c>
      <c r="N5" s="32" t="inlineStr">
        <is>
          <t>ID lançamento</t>
        </is>
      </c>
      <c r="O5" s="32" t="inlineStr">
        <is>
          <t>Favorita / versão</t>
        </is>
      </c>
      <c r="P5" t="inlineStr">
        <is>
          <t>Fonte</t>
        </is>
      </c>
      <c r="Q5" t="inlineStr">
        <is>
          <t>Cálculo</t>
        </is>
      </c>
    </row>
    <row r="6" ht="21.75" customHeight="1">
      <c r="A6" s="33" t="n"/>
      <c r="B6" s="30" t="n"/>
      <c r="C6" s="30" t="n"/>
      <c r="D6" s="35" t="n"/>
      <c r="E6" s="29" t="n"/>
      <c r="F6" s="29" t="n"/>
      <c r="G6" s="29" t="n"/>
      <c r="H6" s="29" t="n"/>
      <c r="I6" s="29" t="n"/>
      <c r="J6" s="29" t="n"/>
      <c r="K6" s="30" t="n"/>
      <c r="L6" s="30" t="n"/>
      <c r="M6" s="18" t="n"/>
      <c r="N6" s="34" t="n"/>
      <c r="O6" s="34" t="n"/>
    </row>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M6">
    <cfRule type="containsText" priority="1" operator="containsText" dxfId="2" text="Rever">
      <formula>NOT(ISERROR(SEARCH("Rever",M6)))</formula>
    </cfRule>
  </conditionalFormatting>
  <dataValidations count="3">
    <dataValidation sqref="B6" showDropDown="0" showInputMessage="0" showErrorMessage="0" allowBlank="1" type="list">
      <formula1>"Café da manhã,Almoço,Lanche,Jantar,Ceia,Complemento,Outro"</formula1>
    </dataValidation>
    <dataValidation sqref="D6" showDropDown="0" showInputMessage="0" showErrorMessage="0" allowBlank="1" type="decimal" operator="between">
      <formula1>0</formula1>
      <formula2>10000</formula2>
    </dataValidation>
    <dataValidation sqref="K6" showDropDown="0" showInputMessage="0" showErrorMessage="0" allowBlank="1" type="list">
      <formula1>"Pesada,Rótulo,Estimada"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65"/>
  <sheetViews>
    <sheetView showGridLines="0" workbookViewId="0">
      <pane ySplit="5" topLeftCell="A6" activePane="bottomLeft" state="frozen"/>
      <selection pane="bottomLeft" activeCell="A1" sqref="A1"/>
    </sheetView>
  </sheetViews>
  <sheetFormatPr baseColWidth="8" defaultRowHeight="15"/>
  <cols>
    <col width="15.03" customWidth="1" min="1" max="1"/>
    <col width="14.02" customWidth="1" min="2" max="2"/>
    <col width="13.01" customWidth="1" min="3" max="3"/>
    <col width="14.02" customWidth="1" min="4" max="4"/>
    <col width="15.03" customWidth="1" min="5" max="5"/>
    <col width="15.03" customWidth="1" min="6" max="6"/>
    <col width="18.95" customWidth="1" min="7" max="7"/>
    <col width="17.05" customWidth="1" min="8" max="8"/>
    <col width="15.03" customWidth="1" min="9" max="9"/>
    <col width="18.06" customWidth="1" min="10" max="10"/>
    <col width="59.99" customWidth="1" min="11" max="11"/>
    <col width="15.03" customWidth="1" min="12" max="12"/>
    <col width="15.03" customWidth="1" min="13" max="13"/>
    <col width="17.05" customWidth="1" min="14" max="14"/>
    <col width="16.04" customWidth="1" min="15" max="15"/>
    <col width="16.04" customWidth="1" min="16" max="16"/>
    <col width="16.04" customWidth="1" min="17" max="17"/>
    <col width="14.02" customWidth="1" min="18" max="18"/>
    <col width="14.02" customWidth="1" min="19" max="19"/>
    <col width="14.02" customWidth="1" min="20" max="20"/>
    <col width="18.06" customWidth="1" min="21" max="21"/>
    <col width="14.02" customWidth="1" min="22" max="22"/>
    <col width="16.04" customWidth="1" min="23" max="23"/>
    <col width="18.06" customWidth="1" min="24" max="24"/>
    <col width="16.04" customWidth="1" min="25" max="25"/>
    <col width="14.02" customWidth="1" min="26" max="26"/>
    <col width="14.02" customWidth="1" min="27" max="27"/>
    <col width="19.96" customWidth="1" min="28" max="28"/>
    <col width="19.96" customWidth="1" min="29" max="29"/>
    <col width="21.98" customWidth="1" min="30" max="30"/>
    <col width="21.98" customWidth="1" min="31" max="31"/>
    <col width="18.06" customWidth="1" min="32" max="32"/>
    <col width="8.59" customWidth="1" min="33" max="33"/>
  </cols>
  <sheetData>
    <row r="1" ht="22.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row>
    <row r="2" ht="22.5" customHeight="1">
      <c r="A2" s="2" t="inlineStr">
        <is>
          <t>Resumo diário</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row>
    <row r="3" ht="22.5" customHeight="1">
      <c r="A3" s="1" t="inlineStr">
        <is>
          <t>Uma linha por dia. Vazio = não informado; zero só quando digitado. Totais escritos pelo script.</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row>
    <row r="4" ht="22.5" customHeight="1">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row>
    <row r="5" ht="39.75" customHeight="1">
      <c r="A5" s="37" t="inlineStr">
        <is>
          <t>Data</t>
        </is>
      </c>
      <c r="B5" s="37" t="inlineStr">
        <is>
          <t>Peso kg</t>
        </is>
      </c>
      <c r="C5" s="37" t="inlineStr">
        <is>
          <t>Cintura cm</t>
        </is>
      </c>
      <c r="D5" s="37" t="inlineStr">
        <is>
          <t>Sono h</t>
        </is>
      </c>
      <c r="E5" s="37" t="inlineStr">
        <is>
          <t>Passos</t>
        </is>
      </c>
      <c r="F5" s="37" t="inlineStr">
        <is>
          <t>Cardio min</t>
        </is>
      </c>
      <c r="G5" s="37" t="inlineStr">
        <is>
          <t>Atividade min</t>
        </is>
      </c>
      <c r="H5" s="37" t="inlineStr">
        <is>
          <t>Atividade</t>
        </is>
      </c>
      <c r="I5" s="37" t="inlineStr">
        <is>
          <t>Fome 1–5</t>
        </is>
      </c>
      <c r="J5" s="37" t="inlineStr">
        <is>
          <t>Cansaço 1–5</t>
        </is>
      </c>
      <c r="K5" s="37" t="inlineStr">
        <is>
          <t>Dor 0–10</t>
        </is>
      </c>
      <c r="L5" s="37" t="inlineStr">
        <is>
          <t>Registro alimentar</t>
        </is>
      </c>
      <c r="M5" s="37" t="inlineStr">
        <is>
          <t>Observações</t>
        </is>
      </c>
      <c r="N5" s="37" t="inlineStr">
        <is>
          <t>Objetivo</t>
        </is>
      </c>
      <c r="O5" s="37" t="inlineStr">
        <is>
          <t>Meta</t>
        </is>
      </c>
      <c r="P5" s="37" t="inlineStr">
        <is>
          <t>Ficha</t>
        </is>
      </c>
      <c r="Q5" s="37" t="inlineStr">
        <is>
          <t>kcal</t>
        </is>
      </c>
      <c r="R5" s="37" t="inlineStr">
        <is>
          <t>Proteína g</t>
        </is>
      </c>
      <c r="S5" s="37" t="inlineStr">
        <is>
          <t>Carboidrato g</t>
        </is>
      </c>
      <c r="T5" s="37" t="inlineStr">
        <is>
          <t>Gordura g</t>
        </is>
      </c>
      <c r="U5" s="37" t="inlineStr">
        <is>
          <t>Fibra g</t>
        </is>
      </c>
      <c r="V5" s="37" t="inlineStr">
        <is>
          <t>Itens sem cálculo</t>
        </is>
      </c>
      <c r="W5" s="37" t="inlineStr">
        <is>
          <t>Itens estimados</t>
        </is>
      </c>
      <c r="X5" s="37" t="inlineStr">
        <is>
          <t>Treinos</t>
        </is>
      </c>
      <c r="Y5" s="37" t="inlineStr">
        <is>
          <t>Estado do dia</t>
        </is>
      </c>
      <c r="Z5" s="37" t="n"/>
      <c r="AA5" s="37" t="n"/>
      <c r="AB5" s="37" t="n"/>
      <c r="AC5" s="37" t="n"/>
      <c r="AD5" s="37" t="n"/>
      <c r="AE5" s="37" t="n"/>
      <c r="AF5" s="37" t="n"/>
      <c r="AG5" s="32" t="n"/>
    </row>
    <row r="6" ht="22.5" customHeight="1">
      <c r="A6" s="38" t="n"/>
      <c r="B6" s="18" t="n"/>
      <c r="C6" s="18" t="n"/>
      <c r="D6" s="18" t="n"/>
      <c r="E6" s="18" t="n"/>
      <c r="F6" s="18" t="n"/>
      <c r="G6" s="18" t="n"/>
      <c r="H6" s="18" t="n"/>
      <c r="I6" s="18" t="n"/>
      <c r="J6" s="18" t="n"/>
      <c r="K6" s="18" t="n"/>
      <c r="L6" s="18" t="n"/>
      <c r="M6" s="18" t="n"/>
      <c r="N6" s="18" t="n"/>
      <c r="O6" s="18" t="n"/>
      <c r="P6" s="18" t="n"/>
      <c r="Q6" s="18" t="n"/>
      <c r="R6" s="18" t="n"/>
      <c r="S6" s="18" t="n"/>
      <c r="T6" s="18" t="n"/>
      <c r="U6" s="18" t="n"/>
      <c r="V6" s="18" t="n"/>
      <c r="W6" s="18" t="n"/>
      <c r="X6" s="18" t="n"/>
      <c r="Y6" s="18" t="n"/>
      <c r="Z6" s="18" t="n"/>
      <c r="AA6" s="18" t="n"/>
      <c r="AB6" s="18" t="n"/>
      <c r="AC6" s="18" t="n"/>
      <c r="AD6" s="18" t="n"/>
      <c r="AE6" s="18" t="n"/>
      <c r="AF6" s="18" t="n"/>
      <c r="AG6" s="18" t="n"/>
    </row>
    <row r="7" ht="22.5" customHeight="1">
      <c r="A7" s="18" t="n"/>
      <c r="B7" s="18" t="n"/>
      <c r="C7" s="18" t="n"/>
      <c r="D7" s="18" t="n"/>
      <c r="E7" s="18" t="n"/>
      <c r="F7" s="18" t="n"/>
      <c r="G7" s="18" t="n"/>
      <c r="H7" s="18" t="n"/>
      <c r="I7" s="18" t="n"/>
      <c r="J7" s="18" t="n"/>
      <c r="K7" s="18" t="n"/>
      <c r="L7" s="18" t="n"/>
      <c r="M7" s="18" t="n"/>
      <c r="N7" s="18" t="n"/>
      <c r="O7" s="18" t="n"/>
      <c r="P7" s="18" t="n"/>
      <c r="Q7" s="18" t="n"/>
      <c r="R7" s="18" t="n"/>
      <c r="S7" s="18" t="n"/>
      <c r="T7" s="18" t="n"/>
      <c r="U7" s="18" t="n"/>
      <c r="V7" s="18" t="n"/>
      <c r="W7" s="18" t="n"/>
      <c r="X7" s="18" t="n"/>
      <c r="Y7" s="18" t="n"/>
      <c r="Z7" s="18" t="n"/>
      <c r="AA7" s="18" t="n"/>
      <c r="AB7" s="18" t="n"/>
      <c r="AC7" s="18" t="n"/>
      <c r="AD7" s="18" t="n"/>
      <c r="AE7" s="18" t="n"/>
      <c r="AF7" s="18" t="n"/>
      <c r="AG7" s="18" t="n"/>
    </row>
    <row r="8" ht="22.5" customHeight="1">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c r="Y8" s="18" t="n"/>
      <c r="Z8" s="18" t="n"/>
      <c r="AA8" s="18" t="n"/>
      <c r="AB8" s="18" t="n"/>
      <c r="AC8" s="18" t="n"/>
      <c r="AD8" s="18" t="n"/>
      <c r="AE8" s="18" t="n"/>
      <c r="AF8" s="18" t="n"/>
      <c r="AG8" s="18" t="n"/>
    </row>
    <row r="9" ht="22.5" customHeight="1">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c r="X9" s="18" t="n"/>
      <c r="Y9" s="18" t="n"/>
      <c r="Z9" s="18" t="n"/>
      <c r="AA9" s="18" t="n"/>
      <c r="AB9" s="18" t="n"/>
      <c r="AC9" s="18" t="n"/>
      <c r="AD9" s="18" t="n"/>
      <c r="AE9" s="18" t="n"/>
      <c r="AF9" s="18" t="n"/>
      <c r="AG9" s="18" t="n"/>
    </row>
    <row r="10" ht="22.5" customHeight="1">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c r="Y10" s="18" t="n"/>
      <c r="Z10" s="18" t="n"/>
      <c r="AA10" s="18" t="n"/>
      <c r="AB10" s="18" t="n"/>
      <c r="AC10" s="18" t="n"/>
      <c r="AD10" s="18" t="n"/>
      <c r="AE10" s="18" t="n"/>
      <c r="AF10" s="18" t="n"/>
      <c r="AG10" s="18" t="n"/>
    </row>
    <row r="11" ht="22.5" customHeight="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c r="Y11" s="18" t="n"/>
      <c r="Z11" s="18" t="n"/>
      <c r="AA11" s="18" t="n"/>
      <c r="AB11" s="18" t="n"/>
      <c r="AC11" s="18" t="n"/>
      <c r="AD11" s="18" t="n"/>
      <c r="AE11" s="18" t="n"/>
      <c r="AF11" s="18" t="n"/>
      <c r="AG11" s="18" t="n"/>
    </row>
    <row r="12" ht="22.5" customHeight="1">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c r="Y12" s="18" t="n"/>
      <c r="Z12" s="18" t="n"/>
      <c r="AA12" s="18" t="n"/>
      <c r="AB12" s="18" t="n"/>
      <c r="AC12" s="18" t="n"/>
      <c r="AD12" s="18" t="n"/>
      <c r="AE12" s="18" t="n"/>
      <c r="AF12" s="18" t="n"/>
      <c r="AG12" s="18" t="n"/>
    </row>
    <row r="13" ht="22.5" customHeight="1">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c r="Y13" s="18" t="n"/>
      <c r="Z13" s="18" t="n"/>
      <c r="AA13" s="18" t="n"/>
      <c r="AB13" s="18" t="n"/>
      <c r="AC13" s="18" t="n"/>
      <c r="AD13" s="18" t="n"/>
      <c r="AE13" s="18" t="n"/>
      <c r="AF13" s="18" t="n"/>
      <c r="AG13" s="18" t="n"/>
    </row>
    <row r="14" ht="22.5" customHeight="1">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c r="Y14" s="18" t="n"/>
      <c r="Z14" s="18" t="n"/>
      <c r="AA14" s="18" t="n"/>
      <c r="AB14" s="18" t="n"/>
      <c r="AC14" s="18" t="n"/>
      <c r="AD14" s="18" t="n"/>
      <c r="AE14" s="18" t="n"/>
      <c r="AF14" s="18" t="n"/>
      <c r="AG14" s="18" t="n"/>
    </row>
    <row r="15" ht="22.5" customHeight="1">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c r="Y15" s="18" t="n"/>
      <c r="Z15" s="18" t="n"/>
      <c r="AA15" s="18" t="n"/>
      <c r="AB15" s="18" t="n"/>
      <c r="AC15" s="18" t="n"/>
      <c r="AD15" s="18" t="n"/>
      <c r="AE15" s="18" t="n"/>
      <c r="AF15" s="18" t="n"/>
      <c r="AG15" s="18" t="n"/>
    </row>
    <row r="16" ht="22.5" customHeight="1">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c r="Y16" s="18" t="n"/>
      <c r="Z16" s="18" t="n"/>
      <c r="AA16" s="18" t="n"/>
      <c r="AB16" s="18" t="n"/>
      <c r="AC16" s="18" t="n"/>
      <c r="AD16" s="18" t="n"/>
      <c r="AE16" s="18" t="n"/>
      <c r="AF16" s="18" t="n"/>
      <c r="AG16" s="18" t="n"/>
    </row>
    <row r="17" ht="22.5" customHeight="1">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c r="Y17" s="18" t="n"/>
      <c r="Z17" s="18" t="n"/>
      <c r="AA17" s="18" t="n"/>
      <c r="AB17" s="18" t="n"/>
      <c r="AC17" s="18" t="n"/>
      <c r="AD17" s="18" t="n"/>
      <c r="AE17" s="18" t="n"/>
      <c r="AF17" s="18" t="n"/>
      <c r="AG17" s="18" t="n"/>
    </row>
    <row r="18" ht="22.5" customHeight="1">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c r="Y18" s="18" t="n"/>
      <c r="Z18" s="18" t="n"/>
      <c r="AA18" s="18" t="n"/>
      <c r="AB18" s="18" t="n"/>
      <c r="AC18" s="18" t="n"/>
      <c r="AD18" s="18" t="n"/>
      <c r="AE18" s="18" t="n"/>
      <c r="AF18" s="18" t="n"/>
      <c r="AG18" s="18" t="n"/>
    </row>
    <row r="19" ht="22.5" customHeight="1">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c r="Y19" s="18" t="n"/>
      <c r="Z19" s="18" t="n"/>
      <c r="AA19" s="18" t="n"/>
      <c r="AB19" s="18" t="n"/>
      <c r="AC19" s="18" t="n"/>
      <c r="AD19" s="18" t="n"/>
      <c r="AE19" s="18" t="n"/>
      <c r="AF19" s="18" t="n"/>
      <c r="AG19" s="18" t="n"/>
    </row>
    <row r="20" ht="22.5" customHeight="1">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c r="Y20" s="18" t="n"/>
      <c r="Z20" s="18" t="n"/>
      <c r="AA20" s="18" t="n"/>
      <c r="AB20" s="18" t="n"/>
      <c r="AC20" s="18" t="n"/>
      <c r="AD20" s="18" t="n"/>
      <c r="AE20" s="18" t="n"/>
      <c r="AF20" s="18" t="n"/>
      <c r="AG20" s="18" t="n"/>
    </row>
    <row r="21" ht="22.5" customHeight="1">
      <c r="A21" s="18" t="n"/>
      <c r="B21" s="18" t="n"/>
      <c r="C21" s="18" t="n"/>
      <c r="D21" s="18" t="n"/>
      <c r="E21" s="18" t="n"/>
      <c r="F21" s="18" t="n"/>
      <c r="G21" s="18" t="n"/>
      <c r="H21" s="18" t="n"/>
      <c r="I21" s="18" t="n"/>
      <c r="J21" s="18" t="n"/>
      <c r="K21" s="18" t="n"/>
      <c r="L21" s="18" t="n"/>
      <c r="M21" s="18" t="n"/>
      <c r="N21" s="18" t="n"/>
      <c r="O21" s="18" t="n"/>
      <c r="P21" s="18" t="n"/>
      <c r="Q21" s="18" t="n"/>
      <c r="R21" s="18" t="n"/>
      <c r="S21" s="18" t="n"/>
      <c r="T21" s="18" t="n"/>
      <c r="U21" s="18" t="n"/>
      <c r="V21" s="18" t="n"/>
      <c r="W21" s="18" t="n"/>
      <c r="X21" s="18" t="n"/>
      <c r="Y21" s="18" t="n"/>
      <c r="Z21" s="18" t="n"/>
      <c r="AA21" s="18" t="n"/>
      <c r="AB21" s="18" t="n"/>
      <c r="AC21" s="18" t="n"/>
      <c r="AD21" s="18" t="n"/>
      <c r="AE21" s="18" t="n"/>
      <c r="AF21" s="18" t="n"/>
      <c r="AG21" s="18" t="n"/>
    </row>
    <row r="22" ht="22.5" customHeight="1">
      <c r="A22" s="18" t="n"/>
      <c r="B22" s="18" t="n"/>
      <c r="C22" s="18" t="n"/>
      <c r="D22" s="18" t="n"/>
      <c r="E22" s="18" t="n"/>
      <c r="F22" s="18" t="n"/>
      <c r="G22" s="18" t="n"/>
      <c r="H22" s="18" t="n"/>
      <c r="I22" s="18" t="n"/>
      <c r="J22" s="18" t="n"/>
      <c r="K22" s="18" t="n"/>
      <c r="L22" s="18" t="n"/>
      <c r="M22" s="18" t="n"/>
      <c r="N22" s="18" t="n"/>
      <c r="O22" s="18" t="n"/>
      <c r="P22" s="18" t="n"/>
      <c r="Q22" s="18" t="n"/>
      <c r="R22" s="18" t="n"/>
      <c r="S22" s="18" t="n"/>
      <c r="T22" s="18" t="n"/>
      <c r="U22" s="18" t="n"/>
      <c r="V22" s="18" t="n"/>
      <c r="W22" s="18" t="n"/>
      <c r="X22" s="18" t="n"/>
      <c r="Y22" s="18" t="n"/>
      <c r="Z22" s="18" t="n"/>
      <c r="AA22" s="18" t="n"/>
      <c r="AB22" s="18" t="n"/>
      <c r="AC22" s="18" t="n"/>
      <c r="AD22" s="18" t="n"/>
      <c r="AE22" s="18" t="n"/>
      <c r="AF22" s="18" t="n"/>
      <c r="AG22" s="18" t="n"/>
    </row>
    <row r="23" ht="22.5" customHeight="1">
      <c r="A23" s="18" t="n"/>
      <c r="B23" s="18" t="n"/>
      <c r="C23" s="18" t="n"/>
      <c r="D23" s="18" t="n"/>
      <c r="E23" s="18" t="n"/>
      <c r="F23" s="18" t="n"/>
      <c r="G23" s="18" t="n"/>
      <c r="H23" s="18" t="n"/>
      <c r="I23" s="18" t="n"/>
      <c r="J23" s="18" t="n"/>
      <c r="K23" s="18" t="n"/>
      <c r="L23" s="18" t="n"/>
      <c r="M23" s="18" t="n"/>
      <c r="N23" s="18" t="n"/>
      <c r="O23" s="18" t="n"/>
      <c r="P23" s="18" t="n"/>
      <c r="Q23" s="18" t="n"/>
      <c r="R23" s="18" t="n"/>
      <c r="S23" s="18" t="n"/>
      <c r="T23" s="18" t="n"/>
      <c r="U23" s="18" t="n"/>
      <c r="V23" s="18" t="n"/>
      <c r="W23" s="18" t="n"/>
      <c r="X23" s="18" t="n"/>
      <c r="Y23" s="18" t="n"/>
      <c r="Z23" s="18" t="n"/>
      <c r="AA23" s="18" t="n"/>
      <c r="AB23" s="18" t="n"/>
      <c r="AC23" s="18" t="n"/>
      <c r="AD23" s="18" t="n"/>
      <c r="AE23" s="18" t="n"/>
      <c r="AF23" s="18" t="n"/>
      <c r="AG23" s="18" t="n"/>
    </row>
    <row r="24" ht="22.5" customHeight="1">
      <c r="A24" s="18" t="n"/>
      <c r="B24" s="18" t="n"/>
      <c r="C24" s="18" t="n"/>
      <c r="D24" s="18" t="n"/>
      <c r="E24" s="18" t="n"/>
      <c r="F24" s="18" t="n"/>
      <c r="G24" s="18" t="n"/>
      <c r="H24" s="18" t="n"/>
      <c r="I24" s="18" t="n"/>
      <c r="J24" s="18" t="n"/>
      <c r="K24" s="18" t="n"/>
      <c r="L24" s="18" t="n"/>
      <c r="M24" s="18" t="n"/>
      <c r="N24" s="18" t="n"/>
      <c r="O24" s="18" t="n"/>
      <c r="P24" s="18" t="n"/>
      <c r="Q24" s="18" t="n"/>
      <c r="R24" s="18" t="n"/>
      <c r="S24" s="18" t="n"/>
      <c r="T24" s="18" t="n"/>
      <c r="U24" s="18" t="n"/>
      <c r="V24" s="18" t="n"/>
      <c r="W24" s="18" t="n"/>
      <c r="X24" s="18" t="n"/>
      <c r="Y24" s="18" t="n"/>
      <c r="Z24" s="18" t="n"/>
      <c r="AA24" s="18" t="n"/>
      <c r="AB24" s="18" t="n"/>
      <c r="AC24" s="18" t="n"/>
      <c r="AD24" s="18" t="n"/>
      <c r="AE24" s="18" t="n"/>
      <c r="AF24" s="18" t="n"/>
      <c r="AG24" s="18" t="n"/>
    </row>
    <row r="25" ht="22.5" customHeight="1">
      <c r="A25" s="18" t="n"/>
      <c r="B25" s="18" t="n"/>
      <c r="C25" s="18" t="n"/>
      <c r="D25" s="18" t="n"/>
      <c r="E25" s="18" t="n"/>
      <c r="F25" s="18" t="n"/>
      <c r="G25" s="18" t="n"/>
      <c r="H25" s="18" t="n"/>
      <c r="I25" s="18" t="n"/>
      <c r="J25" s="18" t="n"/>
      <c r="K25" s="18" t="n"/>
      <c r="L25" s="18" t="n"/>
      <c r="M25" s="18" t="n"/>
      <c r="N25" s="18" t="n"/>
      <c r="O25" s="18" t="n"/>
      <c r="P25" s="18" t="n"/>
      <c r="Q25" s="18" t="n"/>
      <c r="R25" s="18" t="n"/>
      <c r="S25" s="18" t="n"/>
      <c r="T25" s="18" t="n"/>
      <c r="U25" s="18" t="n"/>
      <c r="V25" s="18" t="n"/>
      <c r="W25" s="18" t="n"/>
      <c r="X25" s="18" t="n"/>
      <c r="Y25" s="18" t="n"/>
      <c r="Z25" s="18" t="n"/>
      <c r="AA25" s="18" t="n"/>
      <c r="AB25" s="18" t="n"/>
      <c r="AC25" s="18" t="n"/>
      <c r="AD25" s="18" t="n"/>
      <c r="AE25" s="18" t="n"/>
      <c r="AF25" s="18" t="n"/>
      <c r="AG25" s="18" t="n"/>
    </row>
    <row r="26" ht="22.5" customHeight="1">
      <c r="A26" s="18" t="n"/>
      <c r="B26" s="18" t="n"/>
      <c r="C26" s="18" t="n"/>
      <c r="D26" s="18" t="n"/>
      <c r="E26" s="18" t="n"/>
      <c r="F26" s="18" t="n"/>
      <c r="G26" s="18" t="n"/>
      <c r="H26" s="18" t="n"/>
      <c r="I26" s="18" t="n"/>
      <c r="J26" s="18" t="n"/>
      <c r="K26" s="18" t="n"/>
      <c r="L26" s="18" t="n"/>
      <c r="M26" s="18" t="n"/>
      <c r="N26" s="18" t="n"/>
      <c r="O26" s="18" t="n"/>
      <c r="P26" s="18" t="n"/>
      <c r="Q26" s="18" t="n"/>
      <c r="R26" s="18" t="n"/>
      <c r="S26" s="18" t="n"/>
      <c r="T26" s="18" t="n"/>
      <c r="U26" s="18" t="n"/>
      <c r="V26" s="18" t="n"/>
      <c r="W26" s="18" t="n"/>
      <c r="X26" s="18" t="n"/>
      <c r="Y26" s="18" t="n"/>
      <c r="Z26" s="18" t="n"/>
      <c r="AA26" s="18" t="n"/>
      <c r="AB26" s="18" t="n"/>
      <c r="AC26" s="18" t="n"/>
      <c r="AD26" s="18" t="n"/>
      <c r="AE26" s="18" t="n"/>
      <c r="AF26" s="18" t="n"/>
      <c r="AG26" s="18" t="n"/>
    </row>
    <row r="27" ht="22.5" customHeight="1">
      <c r="A27" s="18" t="n"/>
      <c r="B27" s="18" t="n"/>
      <c r="C27" s="18" t="n"/>
      <c r="D27" s="18" t="n"/>
      <c r="E27" s="18" t="n"/>
      <c r="F27" s="18" t="n"/>
      <c r="G27" s="18" t="n"/>
      <c r="H27" s="18" t="n"/>
      <c r="I27" s="18" t="n"/>
      <c r="J27" s="18" t="n"/>
      <c r="K27" s="18" t="n"/>
      <c r="L27" s="18" t="n"/>
      <c r="M27" s="18" t="n"/>
      <c r="N27" s="18" t="n"/>
      <c r="O27" s="18" t="n"/>
      <c r="P27" s="18" t="n"/>
      <c r="Q27" s="18" t="n"/>
      <c r="R27" s="18" t="n"/>
      <c r="S27" s="18" t="n"/>
      <c r="T27" s="18" t="n"/>
      <c r="U27" s="18" t="n"/>
      <c r="V27" s="18" t="n"/>
      <c r="W27" s="18" t="n"/>
      <c r="X27" s="18" t="n"/>
      <c r="Y27" s="18" t="n"/>
      <c r="Z27" s="18" t="n"/>
      <c r="AA27" s="18" t="n"/>
      <c r="AB27" s="18" t="n"/>
      <c r="AC27" s="18" t="n"/>
      <c r="AD27" s="18" t="n"/>
      <c r="AE27" s="18" t="n"/>
      <c r="AF27" s="18" t="n"/>
      <c r="AG27" s="18" t="n"/>
    </row>
    <row r="28" ht="22.5" customHeight="1">
      <c r="A28" s="18" t="n"/>
      <c r="B28" s="18" t="n"/>
      <c r="C28" s="18" t="n"/>
      <c r="D28" s="18" t="n"/>
      <c r="E28" s="18" t="n"/>
      <c r="F28" s="18" t="n"/>
      <c r="G28" s="18" t="n"/>
      <c r="H28" s="18" t="n"/>
      <c r="I28" s="18" t="n"/>
      <c r="J28" s="18" t="n"/>
      <c r="K28" s="18" t="n"/>
      <c r="L28" s="18" t="n"/>
      <c r="M28" s="18" t="n"/>
      <c r="N28" s="18" t="n"/>
      <c r="O28" s="18" t="n"/>
      <c r="P28" s="18" t="n"/>
      <c r="Q28" s="18" t="n"/>
      <c r="R28" s="18" t="n"/>
      <c r="S28" s="18" t="n"/>
      <c r="T28" s="18" t="n"/>
      <c r="U28" s="18" t="n"/>
      <c r="V28" s="18" t="n"/>
      <c r="W28" s="18" t="n"/>
      <c r="X28" s="18" t="n"/>
      <c r="Y28" s="18" t="n"/>
      <c r="Z28" s="18" t="n"/>
      <c r="AA28" s="18" t="n"/>
      <c r="AB28" s="18" t="n"/>
      <c r="AC28" s="18" t="n"/>
      <c r="AD28" s="18" t="n"/>
      <c r="AE28" s="18" t="n"/>
      <c r="AF28" s="18" t="n"/>
      <c r="AG28" s="18" t="n"/>
    </row>
    <row r="29" ht="22.5" customHeight="1">
      <c r="A29" s="18" t="n"/>
      <c r="B29" s="18" t="n"/>
      <c r="C29" s="18" t="n"/>
      <c r="D29" s="18" t="n"/>
      <c r="E29" s="18" t="n"/>
      <c r="F29" s="18" t="n"/>
      <c r="G29" s="18" t="n"/>
      <c r="H29" s="18" t="n"/>
      <c r="I29" s="18" t="n"/>
      <c r="J29" s="18" t="n"/>
      <c r="K29" s="18" t="n"/>
      <c r="L29" s="18" t="n"/>
      <c r="M29" s="18" t="n"/>
      <c r="N29" s="18" t="n"/>
      <c r="O29" s="18" t="n"/>
      <c r="P29" s="18" t="n"/>
      <c r="Q29" s="18" t="n"/>
      <c r="R29" s="18" t="n"/>
      <c r="S29" s="18" t="n"/>
      <c r="T29" s="18" t="n"/>
      <c r="U29" s="18" t="n"/>
      <c r="V29" s="18" t="n"/>
      <c r="W29" s="18" t="n"/>
      <c r="X29" s="18" t="n"/>
      <c r="Y29" s="18" t="n"/>
      <c r="Z29" s="18" t="n"/>
      <c r="AA29" s="18" t="n"/>
      <c r="AB29" s="18" t="n"/>
      <c r="AC29" s="18" t="n"/>
      <c r="AD29" s="18" t="n"/>
      <c r="AE29" s="18" t="n"/>
      <c r="AF29" s="18" t="n"/>
      <c r="AG29" s="18" t="n"/>
    </row>
    <row r="30" ht="22.5" customHeight="1">
      <c r="A30" s="18" t="n"/>
      <c r="B30" s="18" t="n"/>
      <c r="C30" s="18" t="n"/>
      <c r="D30" s="18" t="n"/>
      <c r="E30" s="18" t="n"/>
      <c r="F30" s="18" t="n"/>
      <c r="G30" s="18" t="n"/>
      <c r="H30" s="18" t="n"/>
      <c r="I30" s="18" t="n"/>
      <c r="J30" s="18" t="n"/>
      <c r="K30" s="18" t="n"/>
      <c r="L30" s="18" t="n"/>
      <c r="M30" s="18" t="n"/>
      <c r="N30" s="18" t="n"/>
      <c r="O30" s="18" t="n"/>
      <c r="P30" s="18" t="n"/>
      <c r="Q30" s="18" t="n"/>
      <c r="R30" s="18" t="n"/>
      <c r="S30" s="18" t="n"/>
      <c r="T30" s="18" t="n"/>
      <c r="U30" s="18" t="n"/>
      <c r="V30" s="18" t="n"/>
      <c r="W30" s="18" t="n"/>
      <c r="X30" s="18" t="n"/>
      <c r="Y30" s="18" t="n"/>
      <c r="Z30" s="18" t="n"/>
      <c r="AA30" s="18" t="n"/>
      <c r="AB30" s="18" t="n"/>
      <c r="AC30" s="18" t="n"/>
      <c r="AD30" s="18" t="n"/>
      <c r="AE30" s="18" t="n"/>
      <c r="AF30" s="18" t="n"/>
      <c r="AG30" s="18" t="n"/>
    </row>
    <row r="31" ht="22.5" customHeight="1">
      <c r="A31" s="18" t="n"/>
      <c r="B31" s="18" t="n"/>
      <c r="C31" s="18" t="n"/>
      <c r="D31" s="18" t="n"/>
      <c r="E31" s="18" t="n"/>
      <c r="F31" s="18" t="n"/>
      <c r="G31" s="18" t="n"/>
      <c r="H31" s="18" t="n"/>
      <c r="I31" s="18" t="n"/>
      <c r="J31" s="18" t="n"/>
      <c r="K31" s="18" t="n"/>
      <c r="L31" s="18" t="n"/>
      <c r="M31" s="18" t="n"/>
      <c r="N31" s="18" t="n"/>
      <c r="O31" s="18" t="n"/>
      <c r="P31" s="18" t="n"/>
      <c r="Q31" s="18" t="n"/>
      <c r="R31" s="18" t="n"/>
      <c r="S31" s="18" t="n"/>
      <c r="T31" s="18" t="n"/>
      <c r="U31" s="18" t="n"/>
      <c r="V31" s="18" t="n"/>
      <c r="W31" s="18" t="n"/>
      <c r="X31" s="18" t="n"/>
      <c r="Y31" s="18" t="n"/>
      <c r="Z31" s="18" t="n"/>
      <c r="AA31" s="18" t="n"/>
      <c r="AB31" s="18" t="n"/>
      <c r="AC31" s="18" t="n"/>
      <c r="AD31" s="18" t="n"/>
      <c r="AE31" s="18" t="n"/>
      <c r="AF31" s="18" t="n"/>
      <c r="AG31" s="18" t="n"/>
    </row>
    <row r="32" ht="22.5" customHeight="1">
      <c r="A32" s="18" t="n"/>
      <c r="B32" s="18" t="n"/>
      <c r="C32" s="18" t="n"/>
      <c r="D32" s="18" t="n"/>
      <c r="E32" s="18" t="n"/>
      <c r="F32" s="18" t="n"/>
      <c r="G32" s="18" t="n"/>
      <c r="H32" s="18" t="n"/>
      <c r="I32" s="18" t="n"/>
      <c r="J32" s="18" t="n"/>
      <c r="K32" s="18" t="n"/>
      <c r="L32" s="18" t="n"/>
      <c r="M32" s="18" t="n"/>
      <c r="N32" s="18" t="n"/>
      <c r="O32" s="18" t="n"/>
      <c r="P32" s="18" t="n"/>
      <c r="Q32" s="18" t="n"/>
      <c r="R32" s="18" t="n"/>
      <c r="S32" s="18" t="n"/>
      <c r="T32" s="18" t="n"/>
      <c r="U32" s="18" t="n"/>
      <c r="V32" s="18" t="n"/>
      <c r="W32" s="18" t="n"/>
      <c r="X32" s="18" t="n"/>
      <c r="Y32" s="18" t="n"/>
      <c r="Z32" s="18" t="n"/>
      <c r="AA32" s="18" t="n"/>
      <c r="AB32" s="18" t="n"/>
      <c r="AC32" s="18" t="n"/>
      <c r="AD32" s="18" t="n"/>
      <c r="AE32" s="18" t="n"/>
      <c r="AF32" s="18" t="n"/>
      <c r="AG32" s="18" t="n"/>
    </row>
    <row r="33" ht="22.5" customHeight="1">
      <c r="A33" s="18" t="n"/>
      <c r="B33" s="18" t="n"/>
      <c r="C33" s="18" t="n"/>
      <c r="D33" s="18" t="n"/>
      <c r="E33" s="18" t="n"/>
      <c r="F33" s="18" t="n"/>
      <c r="G33" s="18" t="n"/>
      <c r="H33" s="18" t="n"/>
      <c r="I33" s="18" t="n"/>
      <c r="J33" s="18" t="n"/>
      <c r="K33" s="18" t="n"/>
      <c r="L33" s="18" t="n"/>
      <c r="M33" s="18" t="n"/>
      <c r="N33" s="18" t="n"/>
      <c r="O33" s="18" t="n"/>
      <c r="P33" s="18" t="n"/>
      <c r="Q33" s="18" t="n"/>
      <c r="R33" s="18" t="n"/>
      <c r="S33" s="18" t="n"/>
      <c r="T33" s="18" t="n"/>
      <c r="U33" s="18" t="n"/>
      <c r="V33" s="18" t="n"/>
      <c r="W33" s="18" t="n"/>
      <c r="X33" s="18" t="n"/>
      <c r="Y33" s="18" t="n"/>
      <c r="Z33" s="18" t="n"/>
      <c r="AA33" s="18" t="n"/>
      <c r="AB33" s="18" t="n"/>
      <c r="AC33" s="18" t="n"/>
      <c r="AD33" s="18" t="n"/>
      <c r="AE33" s="18" t="n"/>
      <c r="AF33" s="18" t="n"/>
      <c r="AG33" s="18" t="n"/>
    </row>
    <row r="34" ht="22.5" customHeight="1">
      <c r="A34" s="18" t="n"/>
      <c r="B34" s="18" t="n"/>
      <c r="C34" s="18" t="n"/>
      <c r="D34" s="18" t="n"/>
      <c r="E34" s="18" t="n"/>
      <c r="F34" s="18" t="n"/>
      <c r="G34" s="18" t="n"/>
      <c r="H34" s="18" t="n"/>
      <c r="I34" s="18" t="n"/>
      <c r="J34" s="18" t="n"/>
      <c r="K34" s="18" t="n"/>
      <c r="L34" s="18" t="n"/>
      <c r="M34" s="18" t="n"/>
      <c r="N34" s="18" t="n"/>
      <c r="O34" s="18" t="n"/>
      <c r="P34" s="18" t="n"/>
      <c r="Q34" s="18" t="n"/>
      <c r="R34" s="18" t="n"/>
      <c r="S34" s="18" t="n"/>
      <c r="T34" s="18" t="n"/>
      <c r="U34" s="18" t="n"/>
      <c r="V34" s="18" t="n"/>
      <c r="W34" s="18" t="n"/>
      <c r="X34" s="18" t="n"/>
      <c r="Y34" s="18" t="n"/>
      <c r="Z34" s="18" t="n"/>
      <c r="AA34" s="18" t="n"/>
      <c r="AB34" s="18" t="n"/>
      <c r="AC34" s="18" t="n"/>
      <c r="AD34" s="18" t="n"/>
      <c r="AE34" s="18" t="n"/>
      <c r="AF34" s="18" t="n"/>
      <c r="AG34" s="18" t="n"/>
    </row>
    <row r="35" ht="22.5" customHeight="1">
      <c r="A35" s="18" t="n"/>
      <c r="B35" s="18" t="n"/>
      <c r="C35" s="18" t="n"/>
      <c r="D35" s="18" t="n"/>
      <c r="E35" s="18" t="n"/>
      <c r="F35" s="18" t="n"/>
      <c r="G35" s="18" t="n"/>
      <c r="H35" s="18" t="n"/>
      <c r="I35" s="18" t="n"/>
      <c r="J35" s="18" t="n"/>
      <c r="K35" s="18" t="n"/>
      <c r="L35" s="18" t="n"/>
      <c r="M35" s="18" t="n"/>
      <c r="N35" s="18" t="n"/>
      <c r="O35" s="18" t="n"/>
      <c r="P35" s="18" t="n"/>
      <c r="Q35" s="18" t="n"/>
      <c r="R35" s="18" t="n"/>
      <c r="S35" s="18" t="n"/>
      <c r="T35" s="18" t="n"/>
      <c r="U35" s="18" t="n"/>
      <c r="V35" s="18" t="n"/>
      <c r="W35" s="18" t="n"/>
      <c r="X35" s="18" t="n"/>
      <c r="Y35" s="18" t="n"/>
      <c r="Z35" s="18" t="n"/>
      <c r="AA35" s="18" t="n"/>
      <c r="AB35" s="18" t="n"/>
      <c r="AC35" s="18" t="n"/>
      <c r="AD35" s="18" t="n"/>
      <c r="AE35" s="18" t="n"/>
      <c r="AF35" s="18" t="n"/>
      <c r="AG35" s="18" t="n"/>
    </row>
    <row r="36" ht="22.5" customHeight="1">
      <c r="A36" s="18" t="n"/>
      <c r="B36" s="18" t="n"/>
      <c r="C36" s="18" t="n"/>
      <c r="D36" s="18" t="n"/>
      <c r="E36" s="18" t="n"/>
      <c r="F36" s="18" t="n"/>
      <c r="G36" s="18" t="n"/>
      <c r="H36" s="18" t="n"/>
      <c r="I36" s="18" t="n"/>
      <c r="J36" s="18" t="n"/>
      <c r="K36" s="18" t="n"/>
      <c r="L36" s="18" t="n"/>
      <c r="M36" s="18" t="n"/>
      <c r="N36" s="18" t="n"/>
      <c r="O36" s="18" t="n"/>
      <c r="P36" s="18" t="n"/>
      <c r="Q36" s="18" t="n"/>
      <c r="R36" s="18" t="n"/>
      <c r="S36" s="18" t="n"/>
      <c r="T36" s="18" t="n"/>
      <c r="U36" s="18" t="n"/>
      <c r="V36" s="18" t="n"/>
      <c r="W36" s="18" t="n"/>
      <c r="X36" s="18" t="n"/>
      <c r="Y36" s="18" t="n"/>
      <c r="Z36" s="18" t="n"/>
      <c r="AA36" s="18" t="n"/>
      <c r="AB36" s="18" t="n"/>
      <c r="AC36" s="18" t="n"/>
      <c r="AD36" s="18" t="n"/>
      <c r="AE36" s="18" t="n"/>
      <c r="AF36" s="18" t="n"/>
      <c r="AG36" s="18" t="n"/>
    </row>
    <row r="37" ht="22.5" customHeight="1">
      <c r="A37" s="18" t="n"/>
      <c r="B37" s="18" t="n"/>
      <c r="C37" s="18" t="n"/>
      <c r="D37" s="18" t="n"/>
      <c r="E37" s="18" t="n"/>
      <c r="F37" s="18" t="n"/>
      <c r="G37" s="18" t="n"/>
      <c r="H37" s="18" t="n"/>
      <c r="I37" s="18" t="n"/>
      <c r="J37" s="18" t="n"/>
      <c r="K37" s="18" t="n"/>
      <c r="L37" s="18" t="n"/>
      <c r="M37" s="18" t="n"/>
      <c r="N37" s="18" t="n"/>
      <c r="O37" s="18" t="n"/>
      <c r="P37" s="18" t="n"/>
      <c r="Q37" s="18" t="n"/>
      <c r="R37" s="18" t="n"/>
      <c r="S37" s="18" t="n"/>
      <c r="T37" s="18" t="n"/>
      <c r="U37" s="18" t="n"/>
      <c r="V37" s="18" t="n"/>
      <c r="W37" s="18" t="n"/>
      <c r="X37" s="18" t="n"/>
      <c r="Y37" s="18" t="n"/>
      <c r="Z37" s="18" t="n"/>
      <c r="AA37" s="18" t="n"/>
      <c r="AB37" s="18" t="n"/>
      <c r="AC37" s="18" t="n"/>
      <c r="AD37" s="18" t="n"/>
      <c r="AE37" s="18" t="n"/>
      <c r="AF37" s="18" t="n"/>
      <c r="AG37" s="18" t="n"/>
    </row>
    <row r="38" ht="22.5" customHeight="1">
      <c r="A38" s="18" t="n"/>
      <c r="B38" s="18" t="n"/>
      <c r="C38" s="18" t="n"/>
      <c r="D38" s="18" t="n"/>
      <c r="E38" s="18" t="n"/>
      <c r="F38" s="18" t="n"/>
      <c r="G38" s="18" t="n"/>
      <c r="H38" s="18" t="n"/>
      <c r="I38" s="18" t="n"/>
      <c r="J38" s="18" t="n"/>
      <c r="K38" s="18" t="n"/>
      <c r="L38" s="18" t="n"/>
      <c r="M38" s="18" t="n"/>
      <c r="N38" s="18" t="n"/>
      <c r="O38" s="18" t="n"/>
      <c r="P38" s="18" t="n"/>
      <c r="Q38" s="18" t="n"/>
      <c r="R38" s="18" t="n"/>
      <c r="S38" s="18" t="n"/>
      <c r="T38" s="18" t="n"/>
      <c r="U38" s="18" t="n"/>
      <c r="V38" s="18" t="n"/>
      <c r="W38" s="18" t="n"/>
      <c r="X38" s="18" t="n"/>
      <c r="Y38" s="18" t="n"/>
      <c r="Z38" s="18" t="n"/>
      <c r="AA38" s="18" t="n"/>
      <c r="AB38" s="18" t="n"/>
      <c r="AC38" s="18" t="n"/>
      <c r="AD38" s="18" t="n"/>
      <c r="AE38" s="18" t="n"/>
      <c r="AF38" s="18" t="n"/>
      <c r="AG38" s="18" t="n"/>
    </row>
    <row r="39" ht="22.5" customHeight="1">
      <c r="A39" s="18" t="n"/>
      <c r="B39" s="18" t="n"/>
      <c r="C39" s="18" t="n"/>
      <c r="D39" s="18" t="n"/>
      <c r="E39" s="18"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c r="AA39" s="18" t="n"/>
      <c r="AB39" s="18" t="n"/>
      <c r="AC39" s="18" t="n"/>
      <c r="AD39" s="18" t="n"/>
      <c r="AE39" s="18" t="n"/>
      <c r="AF39" s="18" t="n"/>
      <c r="AG39" s="18" t="n"/>
    </row>
    <row r="40" ht="22.5" customHeight="1">
      <c r="A40" s="18" t="n"/>
      <c r="B40" s="18" t="n"/>
      <c r="C40" s="18" t="n"/>
      <c r="D40" s="18" t="n"/>
      <c r="E40" s="18" t="n"/>
      <c r="F40" s="18" t="n"/>
      <c r="G40" s="18" t="n"/>
      <c r="H40" s="18" t="n"/>
      <c r="I40" s="18" t="n"/>
      <c r="J40" s="18" t="n"/>
      <c r="K40" s="18" t="n"/>
      <c r="L40" s="18" t="n"/>
      <c r="M40" s="18" t="n"/>
      <c r="N40" s="18" t="n"/>
      <c r="O40" s="18" t="n"/>
      <c r="P40" s="18" t="n"/>
      <c r="Q40" s="18" t="n"/>
      <c r="R40" s="18" t="n"/>
      <c r="S40" s="18" t="n"/>
      <c r="T40" s="18" t="n"/>
      <c r="U40" s="18" t="n"/>
      <c r="V40" s="18" t="n"/>
      <c r="W40" s="18" t="n"/>
      <c r="X40" s="18" t="n"/>
      <c r="Y40" s="18" t="n"/>
      <c r="Z40" s="18" t="n"/>
      <c r="AA40" s="18" t="n"/>
      <c r="AB40" s="18" t="n"/>
      <c r="AC40" s="18" t="n"/>
      <c r="AD40" s="18" t="n"/>
      <c r="AE40" s="18" t="n"/>
      <c r="AF40" s="18" t="n"/>
      <c r="AG40" s="18" t="n"/>
    </row>
    <row r="41" ht="22.5" customHeight="1">
      <c r="A41" s="18" t="n"/>
      <c r="B41" s="18" t="n"/>
      <c r="C41" s="18" t="n"/>
      <c r="D41" s="18" t="n"/>
      <c r="E41" s="18" t="n"/>
      <c r="F41" s="18" t="n"/>
      <c r="G41" s="18" t="n"/>
      <c r="H41" s="18" t="n"/>
      <c r="I41" s="18" t="n"/>
      <c r="J41" s="18" t="n"/>
      <c r="K41" s="18" t="n"/>
      <c r="L41" s="18" t="n"/>
      <c r="M41" s="18" t="n"/>
      <c r="N41" s="18" t="n"/>
      <c r="O41" s="18" t="n"/>
      <c r="P41" s="18" t="n"/>
      <c r="Q41" s="18" t="n"/>
      <c r="R41" s="18" t="n"/>
      <c r="S41" s="18" t="n"/>
      <c r="T41" s="18" t="n"/>
      <c r="U41" s="18" t="n"/>
      <c r="V41" s="18" t="n"/>
      <c r="W41" s="18" t="n"/>
      <c r="X41" s="18" t="n"/>
      <c r="Y41" s="18" t="n"/>
      <c r="Z41" s="18" t="n"/>
      <c r="AA41" s="18" t="n"/>
      <c r="AB41" s="18" t="n"/>
      <c r="AC41" s="18" t="n"/>
      <c r="AD41" s="18" t="n"/>
      <c r="AE41" s="18" t="n"/>
      <c r="AF41" s="18" t="n"/>
      <c r="AG41" s="18" t="n"/>
    </row>
    <row r="42" ht="22.5" customHeight="1">
      <c r="A42" s="18" t="n"/>
      <c r="B42" s="18" t="n"/>
      <c r="C42" s="18" t="n"/>
      <c r="D42" s="18" t="n"/>
      <c r="E42" s="18" t="n"/>
      <c r="F42" s="18" t="n"/>
      <c r="G42" s="18" t="n"/>
      <c r="H42" s="18" t="n"/>
      <c r="I42" s="18" t="n"/>
      <c r="J42" s="18" t="n"/>
      <c r="K42" s="18" t="n"/>
      <c r="L42" s="18" t="n"/>
      <c r="M42" s="18" t="n"/>
      <c r="N42" s="18" t="n"/>
      <c r="O42" s="18" t="n"/>
      <c r="P42" s="18" t="n"/>
      <c r="Q42" s="18" t="n"/>
      <c r="R42" s="18" t="n"/>
      <c r="S42" s="18" t="n"/>
      <c r="T42" s="18" t="n"/>
      <c r="U42" s="18" t="n"/>
      <c r="V42" s="18" t="n"/>
      <c r="W42" s="18" t="n"/>
      <c r="X42" s="18" t="n"/>
      <c r="Y42" s="18" t="n"/>
      <c r="Z42" s="18" t="n"/>
      <c r="AA42" s="18" t="n"/>
      <c r="AB42" s="18" t="n"/>
      <c r="AC42" s="18" t="n"/>
      <c r="AD42" s="18" t="n"/>
      <c r="AE42" s="18" t="n"/>
      <c r="AF42" s="18" t="n"/>
      <c r="AG42" s="18" t="n"/>
    </row>
    <row r="43" ht="22.5" customHeight="1">
      <c r="A43" s="18" t="n"/>
      <c r="B43" s="18" t="n"/>
      <c r="C43" s="18" t="n"/>
      <c r="D43" s="18" t="n"/>
      <c r="E43" s="18" t="n"/>
      <c r="F43" s="18" t="n"/>
      <c r="G43" s="18" t="n"/>
      <c r="H43" s="18" t="n"/>
      <c r="I43" s="18" t="n"/>
      <c r="J43" s="18" t="n"/>
      <c r="K43" s="18" t="n"/>
      <c r="L43" s="18" t="n"/>
      <c r="M43" s="18" t="n"/>
      <c r="N43" s="18" t="n"/>
      <c r="O43" s="18" t="n"/>
      <c r="P43" s="18" t="n"/>
      <c r="Q43" s="18" t="n"/>
      <c r="R43" s="18" t="n"/>
      <c r="S43" s="18" t="n"/>
      <c r="T43" s="18" t="n"/>
      <c r="U43" s="18" t="n"/>
      <c r="V43" s="18" t="n"/>
      <c r="W43" s="18" t="n"/>
      <c r="X43" s="18" t="n"/>
      <c r="Y43" s="18" t="n"/>
      <c r="Z43" s="18" t="n"/>
      <c r="AA43" s="18" t="n"/>
      <c r="AB43" s="18" t="n"/>
      <c r="AC43" s="18" t="n"/>
      <c r="AD43" s="18" t="n"/>
      <c r="AE43" s="18" t="n"/>
      <c r="AF43" s="18" t="n"/>
      <c r="AG43" s="18" t="n"/>
    </row>
    <row r="44" ht="22.5" customHeight="1">
      <c r="A44" s="18" t="n"/>
      <c r="B44" s="18" t="n"/>
      <c r="C44" s="18" t="n"/>
      <c r="D44" s="18" t="n"/>
      <c r="E44" s="18" t="n"/>
      <c r="F44" s="18" t="n"/>
      <c r="G44" s="18" t="n"/>
      <c r="H44" s="18" t="n"/>
      <c r="I44" s="18" t="n"/>
      <c r="J44" s="18" t="n"/>
      <c r="K44" s="18" t="n"/>
      <c r="L44" s="18" t="n"/>
      <c r="M44" s="18" t="n"/>
      <c r="N44" s="18" t="n"/>
      <c r="O44" s="18" t="n"/>
      <c r="P44" s="18" t="n"/>
      <c r="Q44" s="18" t="n"/>
      <c r="R44" s="18" t="n"/>
      <c r="S44" s="18" t="n"/>
      <c r="T44" s="18" t="n"/>
      <c r="U44" s="18" t="n"/>
      <c r="V44" s="18" t="n"/>
      <c r="W44" s="18" t="n"/>
      <c r="X44" s="18" t="n"/>
      <c r="Y44" s="18" t="n"/>
      <c r="Z44" s="18" t="n"/>
      <c r="AA44" s="18" t="n"/>
      <c r="AB44" s="18" t="n"/>
      <c r="AC44" s="18" t="n"/>
      <c r="AD44" s="18" t="n"/>
      <c r="AE44" s="18" t="n"/>
      <c r="AF44" s="18" t="n"/>
      <c r="AG44" s="18" t="n"/>
    </row>
    <row r="45" ht="22.5" customHeight="1">
      <c r="A45" s="18" t="n"/>
      <c r="B45" s="18" t="n"/>
      <c r="C45" s="18" t="n"/>
      <c r="D45" s="18" t="n"/>
      <c r="E45" s="18" t="n"/>
      <c r="F45" s="18" t="n"/>
      <c r="G45" s="18" t="n"/>
      <c r="H45" s="18" t="n"/>
      <c r="I45" s="18" t="n"/>
      <c r="J45" s="18" t="n"/>
      <c r="K45" s="18" t="n"/>
      <c r="L45" s="18" t="n"/>
      <c r="M45" s="18" t="n"/>
      <c r="N45" s="18" t="n"/>
      <c r="O45" s="18" t="n"/>
      <c r="P45" s="18" t="n"/>
      <c r="Q45" s="18" t="n"/>
      <c r="R45" s="18" t="n"/>
      <c r="S45" s="18" t="n"/>
      <c r="T45" s="18" t="n"/>
      <c r="U45" s="18" t="n"/>
      <c r="V45" s="18" t="n"/>
      <c r="W45" s="18" t="n"/>
      <c r="X45" s="18" t="n"/>
      <c r="Y45" s="18" t="n"/>
      <c r="Z45" s="18" t="n"/>
      <c r="AA45" s="18" t="n"/>
      <c r="AB45" s="18" t="n"/>
      <c r="AC45" s="18" t="n"/>
      <c r="AD45" s="18" t="n"/>
      <c r="AE45" s="18" t="n"/>
      <c r="AF45" s="18" t="n"/>
      <c r="AG45" s="18" t="n"/>
    </row>
    <row r="46" ht="22.5" customHeight="1">
      <c r="A46" s="18" t="n"/>
      <c r="B46" s="18" t="n"/>
      <c r="C46" s="18" t="n"/>
      <c r="D46" s="18" t="n"/>
      <c r="E46" s="18" t="n"/>
      <c r="F46" s="18" t="n"/>
      <c r="G46" s="18" t="n"/>
      <c r="H46" s="18" t="n"/>
      <c r="I46" s="18" t="n"/>
      <c r="J46" s="18" t="n"/>
      <c r="K46" s="18" t="n"/>
      <c r="L46" s="18" t="n"/>
      <c r="M46" s="18" t="n"/>
      <c r="N46" s="18" t="n"/>
      <c r="O46" s="18" t="n"/>
      <c r="P46" s="18" t="n"/>
      <c r="Q46" s="18" t="n"/>
      <c r="R46" s="18" t="n"/>
      <c r="S46" s="18" t="n"/>
      <c r="T46" s="18" t="n"/>
      <c r="U46" s="18" t="n"/>
      <c r="V46" s="18" t="n"/>
      <c r="W46" s="18" t="n"/>
      <c r="X46" s="18" t="n"/>
      <c r="Y46" s="18" t="n"/>
      <c r="Z46" s="18" t="n"/>
      <c r="AA46" s="18" t="n"/>
      <c r="AB46" s="18" t="n"/>
      <c r="AC46" s="18" t="n"/>
      <c r="AD46" s="18" t="n"/>
      <c r="AE46" s="18" t="n"/>
      <c r="AF46" s="18" t="n"/>
      <c r="AG46" s="18" t="n"/>
    </row>
    <row r="47" ht="22.5" customHeight="1">
      <c r="A47" s="18" t="n"/>
      <c r="B47" s="18" t="n"/>
      <c r="C47" s="18" t="n"/>
      <c r="D47" s="18" t="n"/>
      <c r="E47" s="18" t="n"/>
      <c r="F47" s="18" t="n"/>
      <c r="G47" s="18" t="n"/>
      <c r="H47" s="18" t="n"/>
      <c r="I47" s="18" t="n"/>
      <c r="J47" s="18" t="n"/>
      <c r="K47" s="18" t="n"/>
      <c r="L47" s="18" t="n"/>
      <c r="M47" s="18" t="n"/>
      <c r="N47" s="18" t="n"/>
      <c r="O47" s="18" t="n"/>
      <c r="P47" s="18" t="n"/>
      <c r="Q47" s="18" t="n"/>
      <c r="R47" s="18" t="n"/>
      <c r="S47" s="18" t="n"/>
      <c r="T47" s="18" t="n"/>
      <c r="U47" s="18" t="n"/>
      <c r="V47" s="18" t="n"/>
      <c r="W47" s="18" t="n"/>
      <c r="X47" s="18" t="n"/>
      <c r="Y47" s="18" t="n"/>
      <c r="Z47" s="18" t="n"/>
      <c r="AA47" s="18" t="n"/>
      <c r="AB47" s="18" t="n"/>
      <c r="AC47" s="18" t="n"/>
      <c r="AD47" s="18" t="n"/>
      <c r="AE47" s="18" t="n"/>
      <c r="AF47" s="18" t="n"/>
      <c r="AG47" s="18" t="n"/>
    </row>
    <row r="48" ht="22.5" customHeight="1">
      <c r="A48" s="18" t="n"/>
      <c r="B48" s="18" t="n"/>
      <c r="C48" s="18" t="n"/>
      <c r="D48" s="18" t="n"/>
      <c r="E48" s="18" t="n"/>
      <c r="F48" s="18" t="n"/>
      <c r="G48" s="18" t="n"/>
      <c r="H48" s="18" t="n"/>
      <c r="I48" s="18" t="n"/>
      <c r="J48" s="18" t="n"/>
      <c r="K48" s="18" t="n"/>
      <c r="L48" s="18" t="n"/>
      <c r="M48" s="18" t="n"/>
      <c r="N48" s="18" t="n"/>
      <c r="O48" s="18" t="n"/>
      <c r="P48" s="18" t="n"/>
      <c r="Q48" s="18" t="n"/>
      <c r="R48" s="18" t="n"/>
      <c r="S48" s="18" t="n"/>
      <c r="T48" s="18" t="n"/>
      <c r="U48" s="18" t="n"/>
      <c r="V48" s="18" t="n"/>
      <c r="W48" s="18" t="n"/>
      <c r="X48" s="18" t="n"/>
      <c r="Y48" s="18" t="n"/>
      <c r="Z48" s="18" t="n"/>
      <c r="AA48" s="18" t="n"/>
      <c r="AB48" s="18" t="n"/>
      <c r="AC48" s="18" t="n"/>
      <c r="AD48" s="18" t="n"/>
      <c r="AE48" s="18" t="n"/>
      <c r="AF48" s="18" t="n"/>
      <c r="AG48" s="18" t="n"/>
    </row>
    <row r="49" ht="22.5" customHeight="1">
      <c r="A49" s="18" t="n"/>
      <c r="B49" s="18" t="n"/>
      <c r="C49" s="18" t="n"/>
      <c r="D49" s="18" t="n"/>
      <c r="E49" s="18" t="n"/>
      <c r="F49" s="18" t="n"/>
      <c r="G49" s="18" t="n"/>
      <c r="H49" s="18" t="n"/>
      <c r="I49" s="18" t="n"/>
      <c r="J49" s="18" t="n"/>
      <c r="K49" s="18" t="n"/>
      <c r="L49" s="18" t="n"/>
      <c r="M49" s="18" t="n"/>
      <c r="N49" s="18" t="n"/>
      <c r="O49" s="18" t="n"/>
      <c r="P49" s="18" t="n"/>
      <c r="Q49" s="18" t="n"/>
      <c r="R49" s="18" t="n"/>
      <c r="S49" s="18" t="n"/>
      <c r="T49" s="18" t="n"/>
      <c r="U49" s="18" t="n"/>
      <c r="V49" s="18" t="n"/>
      <c r="W49" s="18" t="n"/>
      <c r="X49" s="18" t="n"/>
      <c r="Y49" s="18" t="n"/>
      <c r="Z49" s="18" t="n"/>
      <c r="AA49" s="18" t="n"/>
      <c r="AB49" s="18" t="n"/>
      <c r="AC49" s="18" t="n"/>
      <c r="AD49" s="18" t="n"/>
      <c r="AE49" s="18" t="n"/>
      <c r="AF49" s="18" t="n"/>
      <c r="AG49" s="18" t="n"/>
    </row>
    <row r="50" ht="22.5" customHeight="1">
      <c r="A50" s="18" t="n"/>
      <c r="B50" s="18" t="n"/>
      <c r="C50" s="18" t="n"/>
      <c r="D50" s="18" t="n"/>
      <c r="E50" s="18" t="n"/>
      <c r="F50" s="18" t="n"/>
      <c r="G50" s="18" t="n"/>
      <c r="H50" s="18" t="n"/>
      <c r="I50" s="18" t="n"/>
      <c r="J50" s="18" t="n"/>
      <c r="K50" s="18" t="n"/>
      <c r="L50" s="18" t="n"/>
      <c r="M50" s="18" t="n"/>
      <c r="N50" s="18" t="n"/>
      <c r="O50" s="18" t="n"/>
      <c r="P50" s="18" t="n"/>
      <c r="Q50" s="18" t="n"/>
      <c r="R50" s="18" t="n"/>
      <c r="S50" s="18" t="n"/>
      <c r="T50" s="18" t="n"/>
      <c r="U50" s="18" t="n"/>
      <c r="V50" s="18" t="n"/>
      <c r="W50" s="18" t="n"/>
      <c r="X50" s="18" t="n"/>
      <c r="Y50" s="18" t="n"/>
      <c r="Z50" s="18" t="n"/>
      <c r="AA50" s="18" t="n"/>
      <c r="AB50" s="18" t="n"/>
      <c r="AC50" s="18" t="n"/>
      <c r="AD50" s="18" t="n"/>
      <c r="AE50" s="18" t="n"/>
      <c r="AF50" s="18" t="n"/>
      <c r="AG50" s="18" t="n"/>
    </row>
    <row r="51" ht="22.5" customHeight="1">
      <c r="A51" s="18" t="n"/>
      <c r="B51" s="18" t="n"/>
      <c r="C51" s="18" t="n"/>
      <c r="D51" s="18" t="n"/>
      <c r="E51" s="18" t="n"/>
      <c r="F51" s="18" t="n"/>
      <c r="G51" s="18" t="n"/>
      <c r="H51" s="18" t="n"/>
      <c r="I51" s="18" t="n"/>
      <c r="J51" s="18" t="n"/>
      <c r="K51" s="18" t="n"/>
      <c r="L51" s="18" t="n"/>
      <c r="M51" s="18" t="n"/>
      <c r="N51" s="18" t="n"/>
      <c r="O51" s="18" t="n"/>
      <c r="P51" s="18" t="n"/>
      <c r="Q51" s="18" t="n"/>
      <c r="R51" s="18" t="n"/>
      <c r="S51" s="18" t="n"/>
      <c r="T51" s="18" t="n"/>
      <c r="U51" s="18" t="n"/>
      <c r="V51" s="18" t="n"/>
      <c r="W51" s="18" t="n"/>
      <c r="X51" s="18" t="n"/>
      <c r="Y51" s="18" t="n"/>
      <c r="Z51" s="18" t="n"/>
      <c r="AA51" s="18" t="n"/>
      <c r="AB51" s="18" t="n"/>
      <c r="AC51" s="18" t="n"/>
      <c r="AD51" s="18" t="n"/>
      <c r="AE51" s="18" t="n"/>
      <c r="AF51" s="18" t="n"/>
      <c r="AG51" s="18" t="n"/>
    </row>
    <row r="52" ht="22.5" customHeight="1">
      <c r="A52" s="18" t="n"/>
      <c r="B52" s="18" t="n"/>
      <c r="C52" s="18" t="n"/>
      <c r="D52" s="18" t="n"/>
      <c r="E52" s="18" t="n"/>
      <c r="F52" s="18" t="n"/>
      <c r="G52" s="18" t="n"/>
      <c r="H52" s="18" t="n"/>
      <c r="I52" s="18" t="n"/>
      <c r="J52" s="18" t="n"/>
      <c r="K52" s="18" t="n"/>
      <c r="L52" s="18" t="n"/>
      <c r="M52" s="18" t="n"/>
      <c r="N52" s="18" t="n"/>
      <c r="O52" s="18" t="n"/>
      <c r="P52" s="18" t="n"/>
      <c r="Q52" s="18" t="n"/>
      <c r="R52" s="18" t="n"/>
      <c r="S52" s="18" t="n"/>
      <c r="T52" s="18" t="n"/>
      <c r="U52" s="18" t="n"/>
      <c r="V52" s="18" t="n"/>
      <c r="W52" s="18" t="n"/>
      <c r="X52" s="18" t="n"/>
      <c r="Y52" s="18" t="n"/>
      <c r="Z52" s="18" t="n"/>
      <c r="AA52" s="18" t="n"/>
      <c r="AB52" s="18" t="n"/>
      <c r="AC52" s="18" t="n"/>
      <c r="AD52" s="18" t="n"/>
      <c r="AE52" s="18" t="n"/>
      <c r="AF52" s="18" t="n"/>
      <c r="AG52" s="18" t="n"/>
    </row>
    <row r="53" ht="22.5" customHeight="1">
      <c r="A53" s="18" t="n"/>
      <c r="B53" s="18" t="n"/>
      <c r="C53" s="18" t="n"/>
      <c r="D53" s="18" t="n"/>
      <c r="E53" s="18" t="n"/>
      <c r="F53" s="18" t="n"/>
      <c r="G53" s="18" t="n"/>
      <c r="H53" s="18" t="n"/>
      <c r="I53" s="18" t="n"/>
      <c r="J53" s="18" t="n"/>
      <c r="K53" s="18" t="n"/>
      <c r="L53" s="18" t="n"/>
      <c r="M53" s="18" t="n"/>
      <c r="N53" s="18" t="n"/>
      <c r="O53" s="18" t="n"/>
      <c r="P53" s="18" t="n"/>
      <c r="Q53" s="18" t="n"/>
      <c r="R53" s="18" t="n"/>
      <c r="S53" s="18" t="n"/>
      <c r="T53" s="18" t="n"/>
      <c r="U53" s="18" t="n"/>
      <c r="V53" s="18" t="n"/>
      <c r="W53" s="18" t="n"/>
      <c r="X53" s="18" t="n"/>
      <c r="Y53" s="18" t="n"/>
      <c r="Z53" s="18" t="n"/>
      <c r="AA53" s="18" t="n"/>
      <c r="AB53" s="18" t="n"/>
      <c r="AC53" s="18" t="n"/>
      <c r="AD53" s="18" t="n"/>
      <c r="AE53" s="18" t="n"/>
      <c r="AF53" s="18" t="n"/>
      <c r="AG53" s="18" t="n"/>
    </row>
    <row r="54" ht="22.5" customHeight="1">
      <c r="A54" s="18" t="n"/>
      <c r="B54" s="18" t="n"/>
      <c r="C54" s="18" t="n"/>
      <c r="D54" s="18" t="n"/>
      <c r="E54" s="18" t="n"/>
      <c r="F54" s="18" t="n"/>
      <c r="G54" s="18" t="n"/>
      <c r="H54" s="18" t="n"/>
      <c r="I54" s="18" t="n"/>
      <c r="J54" s="18" t="n"/>
      <c r="K54" s="18" t="n"/>
      <c r="L54" s="18" t="n"/>
      <c r="M54" s="18" t="n"/>
      <c r="N54" s="18" t="n"/>
      <c r="O54" s="18" t="n"/>
      <c r="P54" s="18" t="n"/>
      <c r="Q54" s="18" t="n"/>
      <c r="R54" s="18" t="n"/>
      <c r="S54" s="18" t="n"/>
      <c r="T54" s="18" t="n"/>
      <c r="U54" s="18" t="n"/>
      <c r="V54" s="18" t="n"/>
      <c r="W54" s="18" t="n"/>
      <c r="X54" s="18" t="n"/>
      <c r="Y54" s="18" t="n"/>
      <c r="Z54" s="18" t="n"/>
      <c r="AA54" s="18" t="n"/>
      <c r="AB54" s="18" t="n"/>
      <c r="AC54" s="18" t="n"/>
      <c r="AD54" s="18" t="n"/>
      <c r="AE54" s="18" t="n"/>
      <c r="AF54" s="18" t="n"/>
      <c r="AG54" s="18" t="n"/>
    </row>
    <row r="55" ht="22.5" customHeight="1">
      <c r="A55" s="18" t="n"/>
      <c r="B55" s="18" t="n"/>
      <c r="C55" s="18" t="n"/>
      <c r="D55" s="18" t="n"/>
      <c r="E55" s="18" t="n"/>
      <c r="F55" s="18" t="n"/>
      <c r="G55" s="18" t="n"/>
      <c r="H55" s="18" t="n"/>
      <c r="I55" s="18" t="n"/>
      <c r="J55" s="18" t="n"/>
      <c r="K55" s="18" t="n"/>
      <c r="L55" s="18" t="n"/>
      <c r="M55" s="18" t="n"/>
      <c r="N55" s="18" t="n"/>
      <c r="O55" s="18" t="n"/>
      <c r="P55" s="18" t="n"/>
      <c r="Q55" s="18" t="n"/>
      <c r="R55" s="18" t="n"/>
      <c r="S55" s="18" t="n"/>
      <c r="T55" s="18" t="n"/>
      <c r="U55" s="18" t="n"/>
      <c r="V55" s="18" t="n"/>
      <c r="W55" s="18" t="n"/>
      <c r="X55" s="18" t="n"/>
      <c r="Y55" s="18" t="n"/>
      <c r="Z55" s="18" t="n"/>
      <c r="AA55" s="18" t="n"/>
      <c r="AB55" s="18" t="n"/>
      <c r="AC55" s="18" t="n"/>
      <c r="AD55" s="18" t="n"/>
      <c r="AE55" s="18" t="n"/>
      <c r="AF55" s="18" t="n"/>
      <c r="AG55" s="18" t="n"/>
    </row>
    <row r="56" ht="22.5" customHeight="1">
      <c r="A56" s="18" t="n"/>
      <c r="B56" s="18" t="n"/>
      <c r="C56" s="18" t="n"/>
      <c r="D56" s="18" t="n"/>
      <c r="E56" s="18" t="n"/>
      <c r="F56" s="18" t="n"/>
      <c r="G56" s="18" t="n"/>
      <c r="H56" s="18" t="n"/>
      <c r="I56" s="18" t="n"/>
      <c r="J56" s="18" t="n"/>
      <c r="K56" s="18" t="n"/>
      <c r="L56" s="18" t="n"/>
      <c r="M56" s="18" t="n"/>
      <c r="N56" s="18" t="n"/>
      <c r="O56" s="18" t="n"/>
      <c r="P56" s="18" t="n"/>
      <c r="Q56" s="18" t="n"/>
      <c r="R56" s="18" t="n"/>
      <c r="S56" s="18" t="n"/>
      <c r="T56" s="18" t="n"/>
      <c r="U56" s="18" t="n"/>
      <c r="V56" s="18" t="n"/>
      <c r="W56" s="18" t="n"/>
      <c r="X56" s="18" t="n"/>
      <c r="Y56" s="18" t="n"/>
      <c r="Z56" s="18" t="n"/>
      <c r="AA56" s="18" t="n"/>
      <c r="AB56" s="18" t="n"/>
      <c r="AC56" s="18" t="n"/>
      <c r="AD56" s="18" t="n"/>
      <c r="AE56" s="18" t="n"/>
      <c r="AF56" s="18" t="n"/>
      <c r="AG56" s="18" t="n"/>
    </row>
    <row r="57" ht="22.5" customHeight="1">
      <c r="A57" s="18" t="n"/>
      <c r="B57" s="18" t="n"/>
      <c r="C57" s="18" t="n"/>
      <c r="D57" s="18" t="n"/>
      <c r="E57" s="18"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c r="AA57" s="18" t="n"/>
      <c r="AB57" s="18" t="n"/>
      <c r="AC57" s="18" t="n"/>
      <c r="AD57" s="18" t="n"/>
      <c r="AE57" s="18" t="n"/>
      <c r="AF57" s="18" t="n"/>
      <c r="AG57" s="18" t="n"/>
    </row>
    <row r="58" ht="22.5" customHeight="1">
      <c r="A58" s="18" t="n"/>
      <c r="B58" s="18" t="n"/>
      <c r="C58" s="18" t="n"/>
      <c r="D58" s="18" t="n"/>
      <c r="E58" s="18" t="n"/>
      <c r="F58" s="18" t="n"/>
      <c r="G58" s="18" t="n"/>
      <c r="H58" s="18" t="n"/>
      <c r="I58" s="18" t="n"/>
      <c r="J58" s="18" t="n"/>
      <c r="K58" s="18" t="n"/>
      <c r="L58" s="18" t="n"/>
      <c r="M58" s="18" t="n"/>
      <c r="N58" s="18" t="n"/>
      <c r="O58" s="18" t="n"/>
      <c r="P58" s="18" t="n"/>
      <c r="Q58" s="18" t="n"/>
      <c r="R58" s="18" t="n"/>
      <c r="S58" s="18" t="n"/>
      <c r="T58" s="18" t="n"/>
      <c r="U58" s="18" t="n"/>
      <c r="V58" s="18" t="n"/>
      <c r="W58" s="18" t="n"/>
      <c r="X58" s="18" t="n"/>
      <c r="Y58" s="18" t="n"/>
      <c r="Z58" s="18" t="n"/>
      <c r="AA58" s="18" t="n"/>
      <c r="AB58" s="18" t="n"/>
      <c r="AC58" s="18" t="n"/>
      <c r="AD58" s="18" t="n"/>
      <c r="AE58" s="18" t="n"/>
      <c r="AF58" s="18" t="n"/>
      <c r="AG58" s="18" t="n"/>
    </row>
    <row r="59" ht="22.5" customHeight="1">
      <c r="A59" s="18" t="n"/>
      <c r="B59" s="18" t="n"/>
      <c r="C59" s="18" t="n"/>
      <c r="D59" s="18" t="n"/>
      <c r="E59" s="18" t="n"/>
      <c r="F59" s="18" t="n"/>
      <c r="G59" s="18" t="n"/>
      <c r="H59" s="18" t="n"/>
      <c r="I59" s="18" t="n"/>
      <c r="J59" s="18" t="n"/>
      <c r="K59" s="18" t="n"/>
      <c r="L59" s="18" t="n"/>
      <c r="M59" s="18" t="n"/>
      <c r="N59" s="18" t="n"/>
      <c r="O59" s="18" t="n"/>
      <c r="P59" s="18" t="n"/>
      <c r="Q59" s="18" t="n"/>
      <c r="R59" s="18" t="n"/>
      <c r="S59" s="18" t="n"/>
      <c r="T59" s="18" t="n"/>
      <c r="U59" s="18" t="n"/>
      <c r="V59" s="18" t="n"/>
      <c r="W59" s="18" t="n"/>
      <c r="X59" s="18" t="n"/>
      <c r="Y59" s="18" t="n"/>
      <c r="Z59" s="18" t="n"/>
      <c r="AA59" s="18" t="n"/>
      <c r="AB59" s="18" t="n"/>
      <c r="AC59" s="18" t="n"/>
      <c r="AD59" s="18" t="n"/>
      <c r="AE59" s="18" t="n"/>
      <c r="AF59" s="18" t="n"/>
      <c r="AG59" s="18" t="n"/>
    </row>
    <row r="60" ht="22.5" customHeight="1">
      <c r="A60" s="18" t="n"/>
      <c r="B60" s="18" t="n"/>
      <c r="C60" s="18" t="n"/>
      <c r="D60" s="18" t="n"/>
      <c r="E60" s="18" t="n"/>
      <c r="F60" s="18" t="n"/>
      <c r="G60" s="18" t="n"/>
      <c r="H60" s="18" t="n"/>
      <c r="I60" s="18" t="n"/>
      <c r="J60" s="18" t="n"/>
      <c r="K60" s="18" t="n"/>
      <c r="L60" s="18" t="n"/>
      <c r="M60" s="18" t="n"/>
      <c r="N60" s="18" t="n"/>
      <c r="O60" s="18" t="n"/>
      <c r="P60" s="18" t="n"/>
      <c r="Q60" s="18" t="n"/>
      <c r="R60" s="18" t="n"/>
      <c r="S60" s="18" t="n"/>
      <c r="T60" s="18" t="n"/>
      <c r="U60" s="18" t="n"/>
      <c r="V60" s="18" t="n"/>
      <c r="W60" s="18" t="n"/>
      <c r="X60" s="18" t="n"/>
      <c r="Y60" s="18" t="n"/>
      <c r="Z60" s="18" t="n"/>
      <c r="AA60" s="18" t="n"/>
      <c r="AB60" s="18" t="n"/>
      <c r="AC60" s="18" t="n"/>
      <c r="AD60" s="18" t="n"/>
      <c r="AE60" s="18" t="n"/>
      <c r="AF60" s="18" t="n"/>
      <c r="AG60" s="18" t="n"/>
    </row>
    <row r="61" ht="22.5" customHeight="1">
      <c r="A61" s="18" t="n"/>
      <c r="B61" s="18" t="n"/>
      <c r="C61" s="18" t="n"/>
      <c r="D61" s="18" t="n"/>
      <c r="E61" s="18" t="n"/>
      <c r="F61" s="18" t="n"/>
      <c r="G61" s="18" t="n"/>
      <c r="H61" s="18" t="n"/>
      <c r="I61" s="18" t="n"/>
      <c r="J61" s="18" t="n"/>
      <c r="K61" s="18" t="n"/>
      <c r="L61" s="18" t="n"/>
      <c r="M61" s="18" t="n"/>
      <c r="N61" s="18" t="n"/>
      <c r="O61" s="18" t="n"/>
      <c r="P61" s="18" t="n"/>
      <c r="Q61" s="18" t="n"/>
      <c r="R61" s="18" t="n"/>
      <c r="S61" s="18" t="n"/>
      <c r="T61" s="18" t="n"/>
      <c r="U61" s="18" t="n"/>
      <c r="V61" s="18" t="n"/>
      <c r="W61" s="18" t="n"/>
      <c r="X61" s="18" t="n"/>
      <c r="Y61" s="18" t="n"/>
      <c r="Z61" s="18" t="n"/>
      <c r="AA61" s="18" t="n"/>
      <c r="AB61" s="18" t="n"/>
      <c r="AC61" s="18" t="n"/>
      <c r="AD61" s="18" t="n"/>
      <c r="AE61" s="18" t="n"/>
      <c r="AF61" s="18" t="n"/>
      <c r="AG61" s="18" t="n"/>
    </row>
    <row r="62" ht="22.5" customHeight="1">
      <c r="A62" s="18" t="n"/>
      <c r="B62" s="18" t="n"/>
      <c r="C62" s="18" t="n"/>
      <c r="D62" s="18" t="n"/>
      <c r="E62" s="18" t="n"/>
      <c r="F62" s="18" t="n"/>
      <c r="G62" s="18" t="n"/>
      <c r="H62" s="18" t="n"/>
      <c r="I62" s="18" t="n"/>
      <c r="J62" s="18" t="n"/>
      <c r="K62" s="18" t="n"/>
      <c r="L62" s="18" t="n"/>
      <c r="M62" s="18" t="n"/>
      <c r="N62" s="18" t="n"/>
      <c r="O62" s="18" t="n"/>
      <c r="P62" s="18" t="n"/>
      <c r="Q62" s="18" t="n"/>
      <c r="R62" s="18" t="n"/>
      <c r="S62" s="18" t="n"/>
      <c r="T62" s="18" t="n"/>
      <c r="U62" s="18" t="n"/>
      <c r="V62" s="18" t="n"/>
      <c r="W62" s="18" t="n"/>
      <c r="X62" s="18" t="n"/>
      <c r="Y62" s="18" t="n"/>
      <c r="Z62" s="18" t="n"/>
      <c r="AA62" s="18" t="n"/>
      <c r="AB62" s="18" t="n"/>
      <c r="AC62" s="18" t="n"/>
      <c r="AD62" s="18" t="n"/>
      <c r="AE62" s="18" t="n"/>
      <c r="AF62" s="18" t="n"/>
      <c r="AG62" s="18" t="n"/>
    </row>
    <row r="63" ht="22.5" customHeight="1">
      <c r="A63" s="18" t="n"/>
      <c r="B63" s="18" t="n"/>
      <c r="C63" s="18" t="n"/>
      <c r="D63" s="18" t="n"/>
      <c r="E63" s="18" t="n"/>
      <c r="F63" s="18" t="n"/>
      <c r="G63" s="18" t="n"/>
      <c r="H63" s="18" t="n"/>
      <c r="I63" s="18" t="n"/>
      <c r="J63" s="18" t="n"/>
      <c r="K63" s="18" t="n"/>
      <c r="L63" s="18" t="n"/>
      <c r="M63" s="18" t="n"/>
      <c r="N63" s="18" t="n"/>
      <c r="O63" s="18" t="n"/>
      <c r="P63" s="18" t="n"/>
      <c r="Q63" s="18" t="n"/>
      <c r="R63" s="18" t="n"/>
      <c r="S63" s="18" t="n"/>
      <c r="T63" s="18" t="n"/>
      <c r="U63" s="18" t="n"/>
      <c r="V63" s="18" t="n"/>
      <c r="W63" s="18" t="n"/>
      <c r="X63" s="18" t="n"/>
      <c r="Y63" s="18" t="n"/>
      <c r="Z63" s="18" t="n"/>
      <c r="AA63" s="18" t="n"/>
      <c r="AB63" s="18" t="n"/>
      <c r="AC63" s="18" t="n"/>
      <c r="AD63" s="18" t="n"/>
      <c r="AE63" s="18" t="n"/>
      <c r="AF63" s="18" t="n"/>
      <c r="AG63" s="18" t="n"/>
    </row>
    <row r="64" ht="22.5" customHeight="1">
      <c r="A64" s="18" t="n"/>
      <c r="B64" s="18" t="n"/>
      <c r="C64" s="18" t="n"/>
      <c r="D64" s="18" t="n"/>
      <c r="E64" s="18" t="n"/>
      <c r="F64" s="18" t="n"/>
      <c r="G64" s="18" t="n"/>
      <c r="H64" s="18" t="n"/>
      <c r="I64" s="18" t="n"/>
      <c r="J64" s="18" t="n"/>
      <c r="K64" s="18" t="n"/>
      <c r="L64" s="18" t="n"/>
      <c r="M64" s="18" t="n"/>
      <c r="N64" s="18" t="n"/>
      <c r="O64" s="18" t="n"/>
      <c r="P64" s="18" t="n"/>
      <c r="Q64" s="18" t="n"/>
      <c r="R64" s="18" t="n"/>
      <c r="S64" s="18" t="n"/>
      <c r="T64" s="18" t="n"/>
      <c r="U64" s="18" t="n"/>
      <c r="V64" s="18" t="n"/>
      <c r="W64" s="18" t="n"/>
      <c r="X64" s="18" t="n"/>
      <c r="Y64" s="18" t="n"/>
      <c r="Z64" s="18" t="n"/>
      <c r="AA64" s="18" t="n"/>
      <c r="AB64" s="18" t="n"/>
      <c r="AC64" s="18" t="n"/>
      <c r="AD64" s="18" t="n"/>
      <c r="AE64" s="18" t="n"/>
      <c r="AF64" s="18" t="n"/>
      <c r="AG64" s="18" t="n"/>
    </row>
    <row r="65" ht="22.5" customHeight="1">
      <c r="A65" s="18" t="n"/>
      <c r="B65" s="18" t="n"/>
      <c r="C65" s="18" t="n"/>
      <c r="D65" s="18" t="n"/>
      <c r="E65" s="18" t="n"/>
      <c r="F65" s="18" t="n"/>
      <c r="G65" s="18" t="n"/>
      <c r="H65" s="18" t="n"/>
      <c r="I65" s="18" t="n"/>
      <c r="J65" s="18" t="n"/>
      <c r="K65" s="18" t="n"/>
      <c r="L65" s="18" t="n"/>
      <c r="M65" s="18" t="n"/>
      <c r="N65" s="18" t="n"/>
      <c r="O65" s="18" t="n"/>
      <c r="P65" s="18" t="n"/>
      <c r="Q65" s="18" t="n"/>
      <c r="R65" s="18" t="n"/>
      <c r="S65" s="18" t="n"/>
      <c r="T65" s="18" t="n"/>
      <c r="U65" s="18" t="n"/>
      <c r="V65" s="18" t="n"/>
      <c r="W65" s="18" t="n"/>
      <c r="X65" s="18" t="n"/>
      <c r="Y65" s="18" t="n"/>
      <c r="Z65" s="18" t="n"/>
      <c r="AA65" s="18" t="n"/>
      <c r="AB65" s="18" t="n"/>
      <c r="AC65" s="18" t="n"/>
      <c r="AD65" s="18" t="n"/>
      <c r="AE65" s="18" t="n"/>
      <c r="AF65" s="18" t="n"/>
      <c r="AG65" s="18" t="n"/>
    </row>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autoFilter ref="A5:AG1000"/>
  <dataValidations count="9">
    <dataValidation sqref="B6" showDropDown="0" showInputMessage="0" showErrorMessage="0" allowBlank="1" type="decimal" operator="between">
      <formula1>20</formula1>
      <formula2>300</formula2>
    </dataValidation>
    <dataValidation sqref="C6" showDropDown="0" showInputMessage="0" showErrorMessage="0" allowBlank="1" type="decimal" operator="between">
      <formula1>0</formula1>
      <formula2>24</formula2>
    </dataValidation>
    <dataValidation sqref="D6:E6" showDropDown="0" showInputMessage="0" showErrorMessage="0" allowBlank="1" type="decimal" operator="between">
      <formula1>1</formula1>
      <formula2>5</formula2>
    </dataValidation>
    <dataValidation sqref="F6" showDropDown="0" showInputMessage="0" showErrorMessage="0" allowBlank="1" type="decimal" operator="between">
      <formula1>0</formula1>
      <formula2>10</formula2>
    </dataValidation>
    <dataValidation sqref="G6" showDropDown="0" showInputMessage="0" showErrorMessage="0" allowBlank="1" type="decimal" operator="between">
      <formula1>0</formula1>
      <formula2>100000</formula2>
    </dataValidation>
    <dataValidation sqref="H6:I6 M6" showDropDown="0" showInputMessage="0" showErrorMessage="0" allowBlank="1" type="list">
      <formula1>"Sim,Não"</formula1>
    </dataValidation>
    <dataValidation sqref="J6" showDropDown="0" showInputMessage="0" showErrorMessage="0" allowBlank="1" type="decimal" operator="between">
      <formula1>0</formula1>
      <formula2>600</formula2>
    </dataValidation>
    <dataValidation sqref="K6" showDropDown="0" showInputMessage="0" showErrorMessage="0" allowBlank="1" type="decimal" operator="between">
      <formula1>0</formula1>
      <formula2>15</formula2>
    </dataValidation>
    <dataValidation sqref="L6" showDropDown="0" showInputMessage="0" showErrorMessage="0" allowBlank="1" type="decimal" operator="between">
      <formula1>0</formula1>
      <formula2>30</formula2>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Q65"/>
  <sheetViews>
    <sheetView showGridLines="0" workbookViewId="0">
      <pane ySplit="5" topLeftCell="A6" activePane="bottomLeft" state="frozen"/>
      <selection pane="bottomLeft" activeCell="A1" sqref="A1"/>
    </sheetView>
  </sheetViews>
  <sheetFormatPr baseColWidth="8" defaultRowHeight="15"/>
  <cols>
    <col width="15.03" customWidth="1" min="1" max="1"/>
    <col width="15.03" customWidth="1" min="2" max="2"/>
    <col width="14.02" customWidth="1" min="3" max="3"/>
    <col width="16.04" customWidth="1" min="4" max="4"/>
    <col width="18.06" customWidth="1" min="5" max="5"/>
    <col width="15.03" customWidth="1" min="6" max="6"/>
    <col width="18.06" customWidth="1" min="7" max="7"/>
    <col width="19.96" customWidth="1" min="8" max="8"/>
    <col width="18.06" customWidth="1" min="9" max="9"/>
    <col width="18.06" customWidth="1" min="10" max="10"/>
    <col width="19.96" customWidth="1" min="11" max="11"/>
    <col width="21.98" customWidth="1" min="12" max="12"/>
    <col width="14.02" customWidth="1" min="13" max="13"/>
    <col width="18.06" customWidth="1" min="14" max="14"/>
    <col width="18.95" customWidth="1" min="15" max="15"/>
    <col width="17.05" customWidth="1" min="16" max="16"/>
    <col width="18.06" customWidth="1" min="17" max="17"/>
    <col width="17.05" customWidth="1" min="18" max="18"/>
    <col width="21.98"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 width="8.59" customWidth="1" min="27" max="27"/>
    <col width="8.59" customWidth="1" min="28" max="28"/>
    <col width="8.59" customWidth="1" min="29" max="29"/>
    <col width="8.59" customWidth="1" min="30" max="30"/>
    <col width="8.59" customWidth="1" min="31" max="31"/>
    <col width="8.59" customWidth="1" min="32" max="32"/>
    <col width="8.59" customWidth="1" min="33" max="33"/>
  </cols>
  <sheetData>
    <row r="1" ht="22.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row>
    <row r="2" ht="22.5" customHeight="1">
      <c r="A2" s="2" t="inlineStr">
        <is>
          <t>Evolução semanal</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row>
    <row r="3" ht="22.5" customHeight="1">
      <c r="A3" s="1" t="inlineStr">
        <is>
          <t>Uma linha por semana (segunda a domingo), gravada como valores com o objetivo, a meta e a ficha daquela semana.</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row>
    <row r="4" ht="22.5" customHeight="1">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row>
    <row r="5" ht="39.75" customHeight="1">
      <c r="A5" s="37" t="inlineStr">
        <is>
          <t>Início</t>
        </is>
      </c>
      <c r="B5" s="37" t="inlineStr">
        <is>
          <t>Fim</t>
        </is>
      </c>
      <c r="C5" s="37" t="inlineStr">
        <is>
          <t>Objetivo</t>
        </is>
      </c>
      <c r="D5" s="37" t="inlineStr">
        <is>
          <t>Meta</t>
        </is>
      </c>
      <c r="E5" s="37" t="inlineStr">
        <is>
          <t>Ficha</t>
        </is>
      </c>
      <c r="F5" s="37" t="inlineStr">
        <is>
          <t>Transição na semana</t>
        </is>
      </c>
      <c r="G5" s="37" t="inlineStr">
        <is>
          <t>Pesagens</t>
        </is>
      </c>
      <c r="H5" s="37" t="inlineStr">
        <is>
          <t>Peso médio 7d</t>
        </is>
      </c>
      <c r="I5" s="37" t="inlineStr">
        <is>
          <t>Variação kg</t>
        </is>
      </c>
      <c r="J5" s="37" t="inlineStr">
        <is>
          <t>Variação %/sem</t>
        </is>
      </c>
      <c r="K5" s="37" t="inlineStr">
        <is>
          <t>Cintura</t>
        </is>
      </c>
      <c r="L5" s="37" t="inlineStr">
        <is>
          <t>Variação cintura</t>
        </is>
      </c>
      <c r="M5" s="37" t="inlineStr">
        <is>
          <t>Dias com registro</t>
        </is>
      </c>
      <c r="N5" s="37" t="inlineStr">
        <is>
          <t>Dias completos</t>
        </is>
      </c>
      <c r="O5" s="37" t="inlineStr">
        <is>
          <t>kcal média</t>
        </is>
      </c>
      <c r="P5" s="37" t="inlineStr">
        <is>
          <t>Proteína média</t>
        </is>
      </c>
      <c r="Q5" s="37" t="inlineStr">
        <is>
          <t>Carboidrato médio</t>
        </is>
      </c>
      <c r="R5" s="37" t="inlineStr">
        <is>
          <t>Gordura média</t>
        </is>
      </c>
      <c r="S5" s="37" t="inlineStr">
        <is>
          <t>Fibra média</t>
        </is>
      </c>
      <c r="T5" s="32" t="inlineStr">
        <is>
          <t>Aderência kcal</t>
        </is>
      </c>
      <c r="U5" s="32" t="inlineStr">
        <is>
          <t>Aderência proteína</t>
        </is>
      </c>
      <c r="V5" s="32" t="inlineStr">
        <is>
          <t>Aderência gordura</t>
        </is>
      </c>
      <c r="W5" s="1" t="inlineStr">
        <is>
          <t>Cobertura alimentar</t>
        </is>
      </c>
      <c r="X5" s="1" t="inlineStr">
        <is>
          <t>Itens sem cálculo</t>
        </is>
      </c>
      <c r="Y5" s="1" t="inlineStr">
        <is>
          <t>Treinos</t>
        </is>
      </c>
      <c r="Z5" s="1" t="inlineStr">
        <is>
          <t>Meta treinos</t>
        </is>
      </c>
      <c r="AA5" s="1" t="inlineStr">
        <is>
          <t>Volume work</t>
        </is>
      </c>
      <c r="AB5" s="1" t="inlineStr">
        <is>
          <t>Exercícios com progressão</t>
        </is>
      </c>
      <c r="AC5" s="1" t="inlineStr">
        <is>
          <t>Sono médio</t>
        </is>
      </c>
      <c r="AD5" s="1" t="inlineStr">
        <is>
          <t>Fome média</t>
        </is>
      </c>
      <c r="AE5" s="1" t="inlineStr">
        <is>
          <t>Cansaço médio</t>
        </is>
      </c>
      <c r="AF5" s="1" t="inlineStr">
        <is>
          <t>Dor máx</t>
        </is>
      </c>
      <c r="AG5" s="1" t="inlineStr">
        <is>
          <t>Passos médios</t>
        </is>
      </c>
      <c r="AH5" t="inlineStr">
        <is>
          <t>Cardio min</t>
        </is>
      </c>
      <c r="AI5" t="inlineStr">
        <is>
          <t>Atividades</t>
        </is>
      </c>
      <c r="AJ5" t="inlineStr">
        <is>
          <t>Suficiência de dados</t>
        </is>
      </c>
      <c r="AK5" t="inlineStr">
        <is>
          <t>Situação</t>
        </is>
      </c>
      <c r="AL5" t="inlineStr">
        <is>
          <t>Sinais</t>
        </is>
      </c>
      <c r="AM5" t="inlineStr">
        <is>
          <t>Motivos</t>
        </is>
      </c>
      <c r="AN5" t="inlineStr">
        <is>
          <t>Recomendação</t>
        </is>
      </c>
      <c r="AO5" t="inlineStr">
        <is>
          <t>Motivo da recomendação</t>
        </is>
      </c>
      <c r="AP5" t="inlineStr">
        <is>
          <t>Próxima revisão</t>
        </is>
      </c>
      <c r="AQ5" t="inlineStr">
        <is>
          <t>Calculado em</t>
        </is>
      </c>
    </row>
    <row r="6" ht="22.5" customHeight="1">
      <c r="A6" s="38" t="n"/>
      <c r="B6" s="39" t="n"/>
      <c r="C6" s="18" t="n"/>
      <c r="D6" s="18" t="n"/>
      <c r="E6" s="18" t="n"/>
      <c r="F6" s="18" t="n"/>
      <c r="G6" s="18" t="n"/>
      <c r="H6" s="18" t="n"/>
      <c r="I6" s="18" t="n"/>
      <c r="J6" s="18" t="n"/>
      <c r="K6" s="40" t="n"/>
      <c r="L6" s="40" t="n"/>
      <c r="M6" s="18" t="n"/>
      <c r="N6" s="18" t="n"/>
      <c r="O6" s="18" t="n"/>
      <c r="P6" s="18" t="n"/>
      <c r="Q6" s="18" t="n"/>
      <c r="R6" s="18" t="n"/>
      <c r="S6" s="18" t="n"/>
      <c r="T6" s="18" t="n"/>
      <c r="U6" s="18" t="n"/>
      <c r="V6" s="18" t="n"/>
      <c r="W6" s="1" t="n"/>
      <c r="X6" s="1" t="n"/>
      <c r="Y6" s="1" t="n"/>
      <c r="Z6" s="1" t="n"/>
      <c r="AA6" s="1" t="n"/>
      <c r="AB6" s="1" t="n"/>
      <c r="AC6" s="1" t="n"/>
      <c r="AD6" s="1" t="n"/>
      <c r="AE6" s="1" t="n"/>
      <c r="AF6" s="1" t="n"/>
      <c r="AG6" s="1" t="n"/>
    </row>
    <row r="7" ht="22.5" customHeight="1">
      <c r="A7" s="18" t="n"/>
      <c r="B7" s="18" t="n"/>
      <c r="C7" s="18" t="n"/>
      <c r="D7" s="18" t="n"/>
      <c r="E7" s="18" t="n"/>
      <c r="F7" s="18" t="n"/>
      <c r="G7" s="18" t="n"/>
      <c r="H7" s="18" t="n"/>
      <c r="I7" s="18" t="n"/>
      <c r="J7" s="18" t="n"/>
      <c r="K7" s="18" t="n"/>
      <c r="L7" s="18" t="n"/>
      <c r="M7" s="18" t="n"/>
      <c r="N7" s="18" t="n"/>
      <c r="O7" s="18" t="n"/>
      <c r="P7" s="18" t="n"/>
      <c r="Q7" s="18" t="n"/>
      <c r="R7" s="18" t="n"/>
      <c r="S7" s="18" t="n"/>
      <c r="T7" s="18" t="n"/>
      <c r="U7" s="18" t="n"/>
      <c r="V7" s="18" t="n"/>
      <c r="W7" s="1" t="n"/>
      <c r="X7" s="1" t="n"/>
      <c r="Y7" s="1" t="n"/>
      <c r="Z7" s="1" t="n"/>
      <c r="AA7" s="1" t="n"/>
      <c r="AB7" s="1" t="n"/>
      <c r="AC7" s="1" t="n"/>
      <c r="AD7" s="1" t="n"/>
      <c r="AE7" s="1" t="n"/>
      <c r="AF7" s="1" t="n"/>
      <c r="AG7" s="1" t="n"/>
    </row>
    <row r="8" ht="22.5" customHeight="1">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 t="n"/>
      <c r="X8" s="1" t="n"/>
      <c r="Y8" s="1" t="n"/>
      <c r="Z8" s="1" t="n"/>
      <c r="AA8" s="1" t="n"/>
      <c r="AB8" s="1" t="n"/>
      <c r="AC8" s="1" t="n"/>
      <c r="AD8" s="1" t="n"/>
      <c r="AE8" s="1" t="n"/>
      <c r="AF8" s="1" t="n"/>
      <c r="AG8" s="1" t="n"/>
    </row>
    <row r="9" ht="22.5" customHeight="1">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 t="n"/>
      <c r="X9" s="1" t="n"/>
      <c r="Y9" s="1" t="n"/>
      <c r="Z9" s="1" t="n"/>
      <c r="AA9" s="1" t="n"/>
      <c r="AB9" s="1" t="n"/>
      <c r="AC9" s="1" t="n"/>
      <c r="AD9" s="1" t="n"/>
      <c r="AE9" s="1" t="n"/>
      <c r="AF9" s="1" t="n"/>
      <c r="AG9" s="1" t="n"/>
    </row>
    <row r="10" ht="22.5" customHeight="1">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 t="n"/>
      <c r="X10" s="1" t="n"/>
      <c r="Y10" s="1" t="n"/>
      <c r="Z10" s="1" t="n"/>
      <c r="AA10" s="1" t="n"/>
      <c r="AB10" s="1" t="n"/>
      <c r="AC10" s="1" t="n"/>
      <c r="AD10" s="1" t="n"/>
      <c r="AE10" s="1" t="n"/>
      <c r="AF10" s="1" t="n"/>
      <c r="AG10" s="1" t="n"/>
    </row>
    <row r="11" ht="22.5" customHeight="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 t="n"/>
      <c r="X11" s="1" t="n"/>
      <c r="Y11" s="1" t="n"/>
      <c r="Z11" s="1" t="n"/>
      <c r="AA11" s="1" t="n"/>
      <c r="AB11" s="1" t="n"/>
      <c r="AC11" s="1" t="n"/>
      <c r="AD11" s="1" t="n"/>
      <c r="AE11" s="1" t="n"/>
      <c r="AF11" s="1" t="n"/>
      <c r="AG11" s="1" t="n"/>
    </row>
    <row r="12" ht="22.5" customHeight="1">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 t="n"/>
      <c r="X12" s="1" t="n"/>
      <c r="Y12" s="1" t="n"/>
      <c r="Z12" s="1" t="n"/>
      <c r="AA12" s="1" t="n"/>
      <c r="AB12" s="1" t="n"/>
      <c r="AC12" s="1" t="n"/>
      <c r="AD12" s="1" t="n"/>
      <c r="AE12" s="1" t="n"/>
      <c r="AF12" s="1" t="n"/>
      <c r="AG12" s="1" t="n"/>
    </row>
    <row r="13" ht="22.5" customHeight="1">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 t="n"/>
      <c r="X13" s="1" t="n"/>
      <c r="Y13" s="1" t="n"/>
      <c r="Z13" s="1" t="n"/>
      <c r="AA13" s="1" t="n"/>
      <c r="AB13" s="1" t="n"/>
      <c r="AC13" s="1" t="n"/>
      <c r="AD13" s="1" t="n"/>
      <c r="AE13" s="1" t="n"/>
      <c r="AF13" s="1" t="n"/>
      <c r="AG13" s="1" t="n"/>
    </row>
    <row r="14" ht="22.5" customHeight="1">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 t="n"/>
      <c r="X14" s="1" t="n"/>
      <c r="Y14" s="1" t="n"/>
      <c r="Z14" s="1" t="n"/>
      <c r="AA14" s="1" t="n"/>
      <c r="AB14" s="1" t="n"/>
      <c r="AC14" s="1" t="n"/>
      <c r="AD14" s="1" t="n"/>
      <c r="AE14" s="1" t="n"/>
      <c r="AF14" s="1" t="n"/>
      <c r="AG14" s="1" t="n"/>
    </row>
    <row r="15" ht="22.5" customHeight="1">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 t="n"/>
      <c r="X15" s="1" t="n"/>
      <c r="Y15" s="1" t="n"/>
      <c r="Z15" s="1" t="n"/>
      <c r="AA15" s="1" t="n"/>
      <c r="AB15" s="1" t="n"/>
      <c r="AC15" s="1" t="n"/>
      <c r="AD15" s="1" t="n"/>
      <c r="AE15" s="1" t="n"/>
      <c r="AF15" s="1" t="n"/>
      <c r="AG15" s="1" t="n"/>
    </row>
    <row r="16" ht="22.5" customHeight="1">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 t="n"/>
      <c r="X16" s="1" t="n"/>
      <c r="Y16" s="1" t="n"/>
      <c r="Z16" s="1" t="n"/>
      <c r="AA16" s="1" t="n"/>
      <c r="AB16" s="1" t="n"/>
      <c r="AC16" s="1" t="n"/>
      <c r="AD16" s="1" t="n"/>
      <c r="AE16" s="1" t="n"/>
      <c r="AF16" s="1" t="n"/>
      <c r="AG16" s="1" t="n"/>
    </row>
    <row r="17" ht="22.5" customHeight="1">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 t="n"/>
      <c r="X17" s="1" t="n"/>
      <c r="Y17" s="1" t="n"/>
      <c r="Z17" s="1" t="n"/>
      <c r="AA17" s="1" t="n"/>
      <c r="AB17" s="1" t="n"/>
      <c r="AC17" s="1" t="n"/>
      <c r="AD17" s="1" t="n"/>
      <c r="AE17" s="1" t="n"/>
      <c r="AF17" s="1" t="n"/>
      <c r="AG17" s="1" t="n"/>
    </row>
    <row r="18" ht="22.5" customHeight="1">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 t="n"/>
      <c r="X18" s="1" t="n"/>
      <c r="Y18" s="1" t="n"/>
      <c r="Z18" s="1" t="n"/>
      <c r="AA18" s="1" t="n"/>
      <c r="AB18" s="1" t="n"/>
      <c r="AC18" s="1" t="n"/>
      <c r="AD18" s="1" t="n"/>
      <c r="AE18" s="1" t="n"/>
      <c r="AF18" s="1" t="n"/>
      <c r="AG18" s="1" t="n"/>
    </row>
    <row r="19" ht="22.5" customHeight="1">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 t="n"/>
      <c r="X19" s="1" t="n"/>
      <c r="Y19" s="1" t="n"/>
      <c r="Z19" s="1" t="n"/>
      <c r="AA19" s="1" t="n"/>
      <c r="AB19" s="1" t="n"/>
      <c r="AC19" s="1" t="n"/>
      <c r="AD19" s="1" t="n"/>
      <c r="AE19" s="1" t="n"/>
      <c r="AF19" s="1" t="n"/>
      <c r="AG19" s="1" t="n"/>
    </row>
    <row r="20" ht="22.5" customHeight="1">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 t="n"/>
      <c r="X20" s="1" t="n"/>
      <c r="Y20" s="1" t="n"/>
      <c r="Z20" s="1" t="n"/>
      <c r="AA20" s="1" t="n"/>
      <c r="AB20" s="1" t="n"/>
      <c r="AC20" s="1" t="n"/>
      <c r="AD20" s="1" t="n"/>
      <c r="AE20" s="1" t="n"/>
      <c r="AF20" s="1" t="n"/>
      <c r="AG20" s="1" t="n"/>
    </row>
    <row r="21" ht="22.5" customHeight="1">
      <c r="A21" s="18" t="n"/>
      <c r="B21" s="18" t="n"/>
      <c r="C21" s="18" t="n"/>
      <c r="D21" s="18" t="n"/>
      <c r="E21" s="18" t="n"/>
      <c r="F21" s="18" t="n"/>
      <c r="G21" s="18" t="n"/>
      <c r="H21" s="18" t="n"/>
      <c r="I21" s="18" t="n"/>
      <c r="J21" s="18" t="n"/>
      <c r="K21" s="18" t="n"/>
      <c r="L21" s="18" t="n"/>
      <c r="M21" s="18" t="n"/>
      <c r="N21" s="18" t="n"/>
      <c r="O21" s="18" t="n"/>
      <c r="P21" s="18" t="n"/>
      <c r="Q21" s="18" t="n"/>
      <c r="R21" s="18" t="n"/>
      <c r="S21" s="18" t="n"/>
      <c r="T21" s="18" t="n"/>
      <c r="U21" s="18" t="n"/>
      <c r="V21" s="18" t="n"/>
      <c r="W21" s="1" t="n"/>
      <c r="X21" s="1" t="n"/>
      <c r="Y21" s="1" t="n"/>
      <c r="Z21" s="1" t="n"/>
      <c r="AA21" s="1" t="n"/>
      <c r="AB21" s="1" t="n"/>
      <c r="AC21" s="1" t="n"/>
      <c r="AD21" s="1" t="n"/>
      <c r="AE21" s="1" t="n"/>
      <c r="AF21" s="1" t="n"/>
      <c r="AG21" s="1" t="n"/>
    </row>
    <row r="22" ht="22.5" customHeight="1">
      <c r="A22" s="18" t="n"/>
      <c r="B22" s="18" t="n"/>
      <c r="C22" s="18" t="n"/>
      <c r="D22" s="18" t="n"/>
      <c r="E22" s="18" t="n"/>
      <c r="F22" s="18" t="n"/>
      <c r="G22" s="18" t="n"/>
      <c r="H22" s="18" t="n"/>
      <c r="I22" s="18" t="n"/>
      <c r="J22" s="18" t="n"/>
      <c r="K22" s="18" t="n"/>
      <c r="L22" s="18" t="n"/>
      <c r="M22" s="18" t="n"/>
      <c r="N22" s="18" t="n"/>
      <c r="O22" s="18" t="n"/>
      <c r="P22" s="18" t="n"/>
      <c r="Q22" s="18" t="n"/>
      <c r="R22" s="18" t="n"/>
      <c r="S22" s="18" t="n"/>
      <c r="T22" s="18" t="n"/>
      <c r="U22" s="18" t="n"/>
      <c r="V22" s="18" t="n"/>
      <c r="W22" s="1" t="n"/>
      <c r="X22" s="1" t="n"/>
      <c r="Y22" s="1" t="n"/>
      <c r="Z22" s="1" t="n"/>
      <c r="AA22" s="1" t="n"/>
      <c r="AB22" s="1" t="n"/>
      <c r="AC22" s="1" t="n"/>
      <c r="AD22" s="1" t="n"/>
      <c r="AE22" s="1" t="n"/>
      <c r="AF22" s="1" t="n"/>
      <c r="AG22" s="1" t="n"/>
    </row>
    <row r="23" ht="22.5" customHeight="1">
      <c r="A23" s="18" t="n"/>
      <c r="B23" s="18" t="n"/>
      <c r="C23" s="18" t="n"/>
      <c r="D23" s="18" t="n"/>
      <c r="E23" s="18" t="n"/>
      <c r="F23" s="18" t="n"/>
      <c r="G23" s="18" t="n"/>
      <c r="H23" s="18" t="n"/>
      <c r="I23" s="18" t="n"/>
      <c r="J23" s="18" t="n"/>
      <c r="K23" s="18" t="n"/>
      <c r="L23" s="18" t="n"/>
      <c r="M23" s="18" t="n"/>
      <c r="N23" s="18" t="n"/>
      <c r="O23" s="18" t="n"/>
      <c r="P23" s="18" t="n"/>
      <c r="Q23" s="18" t="n"/>
      <c r="R23" s="18" t="n"/>
      <c r="S23" s="18" t="n"/>
      <c r="T23" s="18" t="n"/>
      <c r="U23" s="18" t="n"/>
      <c r="V23" s="18" t="n"/>
      <c r="W23" s="1" t="n"/>
      <c r="X23" s="1" t="n"/>
      <c r="Y23" s="1" t="n"/>
      <c r="Z23" s="1" t="n"/>
      <c r="AA23" s="1" t="n"/>
      <c r="AB23" s="1" t="n"/>
      <c r="AC23" s="1" t="n"/>
      <c r="AD23" s="1" t="n"/>
      <c r="AE23" s="1" t="n"/>
      <c r="AF23" s="1" t="n"/>
      <c r="AG23" s="1" t="n"/>
    </row>
    <row r="24" ht="22.5" customHeight="1">
      <c r="A24" s="18" t="n"/>
      <c r="B24" s="18" t="n"/>
      <c r="C24" s="18" t="n"/>
      <c r="D24" s="18" t="n"/>
      <c r="E24" s="18" t="n"/>
      <c r="F24" s="18" t="n"/>
      <c r="G24" s="18" t="n"/>
      <c r="H24" s="18" t="n"/>
      <c r="I24" s="18" t="n"/>
      <c r="J24" s="18" t="n"/>
      <c r="K24" s="18" t="n"/>
      <c r="L24" s="18" t="n"/>
      <c r="M24" s="18" t="n"/>
      <c r="N24" s="18" t="n"/>
      <c r="O24" s="18" t="n"/>
      <c r="P24" s="18" t="n"/>
      <c r="Q24" s="18" t="n"/>
      <c r="R24" s="18" t="n"/>
      <c r="S24" s="18" t="n"/>
      <c r="T24" s="18" t="n"/>
      <c r="U24" s="18" t="n"/>
      <c r="V24" s="18" t="n"/>
      <c r="W24" s="1" t="n"/>
      <c r="X24" s="1" t="n"/>
      <c r="Y24" s="1" t="n"/>
      <c r="Z24" s="1" t="n"/>
      <c r="AA24" s="1" t="n"/>
      <c r="AB24" s="1" t="n"/>
      <c r="AC24" s="1" t="n"/>
      <c r="AD24" s="1" t="n"/>
      <c r="AE24" s="1" t="n"/>
      <c r="AF24" s="1" t="n"/>
      <c r="AG24" s="1" t="n"/>
    </row>
    <row r="25" ht="22.5" customHeight="1">
      <c r="A25" s="18" t="n"/>
      <c r="B25" s="18" t="n"/>
      <c r="C25" s="18" t="n"/>
      <c r="D25" s="18" t="n"/>
      <c r="E25" s="18" t="n"/>
      <c r="F25" s="18" t="n"/>
      <c r="G25" s="18" t="n"/>
      <c r="H25" s="18" t="n"/>
      <c r="I25" s="18" t="n"/>
      <c r="J25" s="18" t="n"/>
      <c r="K25" s="18" t="n"/>
      <c r="L25" s="18" t="n"/>
      <c r="M25" s="18" t="n"/>
      <c r="N25" s="18" t="n"/>
      <c r="O25" s="18" t="n"/>
      <c r="P25" s="18" t="n"/>
      <c r="Q25" s="18" t="n"/>
      <c r="R25" s="18" t="n"/>
      <c r="S25" s="18" t="n"/>
      <c r="T25" s="18" t="n"/>
      <c r="U25" s="18" t="n"/>
      <c r="V25" s="18" t="n"/>
      <c r="W25" s="1" t="n"/>
      <c r="X25" s="1" t="n"/>
      <c r="Y25" s="1" t="n"/>
      <c r="Z25" s="1" t="n"/>
      <c r="AA25" s="1" t="n"/>
      <c r="AB25" s="1" t="n"/>
      <c r="AC25" s="1" t="n"/>
      <c r="AD25" s="1" t="n"/>
      <c r="AE25" s="1" t="n"/>
      <c r="AF25" s="1" t="n"/>
      <c r="AG25" s="1" t="n"/>
    </row>
    <row r="26" ht="22.5" customHeight="1">
      <c r="A26" s="18" t="n"/>
      <c r="B26" s="18" t="n"/>
      <c r="C26" s="18" t="n"/>
      <c r="D26" s="18" t="n"/>
      <c r="E26" s="18" t="n"/>
      <c r="F26" s="18" t="n"/>
      <c r="G26" s="18" t="n"/>
      <c r="H26" s="18" t="n"/>
      <c r="I26" s="18" t="n"/>
      <c r="J26" s="18" t="n"/>
      <c r="K26" s="18" t="n"/>
      <c r="L26" s="18" t="n"/>
      <c r="M26" s="18" t="n"/>
      <c r="N26" s="18" t="n"/>
      <c r="O26" s="18" t="n"/>
      <c r="P26" s="18" t="n"/>
      <c r="Q26" s="18" t="n"/>
      <c r="R26" s="18" t="n"/>
      <c r="S26" s="18" t="n"/>
      <c r="T26" s="18" t="n"/>
      <c r="U26" s="18" t="n"/>
      <c r="V26" s="18" t="n"/>
      <c r="W26" s="1" t="n"/>
      <c r="X26" s="1" t="n"/>
      <c r="Y26" s="1" t="n"/>
      <c r="Z26" s="1" t="n"/>
      <c r="AA26" s="1" t="n"/>
      <c r="AB26" s="1" t="n"/>
      <c r="AC26" s="1" t="n"/>
      <c r="AD26" s="1" t="n"/>
      <c r="AE26" s="1" t="n"/>
      <c r="AF26" s="1" t="n"/>
      <c r="AG26" s="1" t="n"/>
    </row>
    <row r="27" ht="22.5" customHeight="1">
      <c r="A27" s="18" t="n"/>
      <c r="B27" s="18" t="n"/>
      <c r="C27" s="18" t="n"/>
      <c r="D27" s="18" t="n"/>
      <c r="E27" s="18" t="n"/>
      <c r="F27" s="18" t="n"/>
      <c r="G27" s="18" t="n"/>
      <c r="H27" s="18" t="n"/>
      <c r="I27" s="18" t="n"/>
      <c r="J27" s="18" t="n"/>
      <c r="K27" s="18" t="n"/>
      <c r="L27" s="18" t="n"/>
      <c r="M27" s="18" t="n"/>
      <c r="N27" s="18" t="n"/>
      <c r="O27" s="18" t="n"/>
      <c r="P27" s="18" t="n"/>
      <c r="Q27" s="18" t="n"/>
      <c r="R27" s="18" t="n"/>
      <c r="S27" s="18" t="n"/>
      <c r="T27" s="18" t="n"/>
      <c r="U27" s="18" t="n"/>
      <c r="V27" s="18" t="n"/>
      <c r="W27" s="1" t="n"/>
      <c r="X27" s="1" t="n"/>
      <c r="Y27" s="1" t="n"/>
      <c r="Z27" s="1" t="n"/>
      <c r="AA27" s="1" t="n"/>
      <c r="AB27" s="1" t="n"/>
      <c r="AC27" s="1" t="n"/>
      <c r="AD27" s="1" t="n"/>
      <c r="AE27" s="1" t="n"/>
      <c r="AF27" s="1" t="n"/>
      <c r="AG27" s="1" t="n"/>
    </row>
    <row r="28" ht="22.5" customHeight="1">
      <c r="A28" s="18" t="n"/>
      <c r="B28" s="18" t="n"/>
      <c r="C28" s="18" t="n"/>
      <c r="D28" s="18" t="n"/>
      <c r="E28" s="18" t="n"/>
      <c r="F28" s="18" t="n"/>
      <c r="G28" s="18" t="n"/>
      <c r="H28" s="18" t="n"/>
      <c r="I28" s="18" t="n"/>
      <c r="J28" s="18" t="n"/>
      <c r="K28" s="18" t="n"/>
      <c r="L28" s="18" t="n"/>
      <c r="M28" s="18" t="n"/>
      <c r="N28" s="18" t="n"/>
      <c r="O28" s="18" t="n"/>
      <c r="P28" s="18" t="n"/>
      <c r="Q28" s="18" t="n"/>
      <c r="R28" s="18" t="n"/>
      <c r="S28" s="18" t="n"/>
      <c r="T28" s="18" t="n"/>
      <c r="U28" s="18" t="n"/>
      <c r="V28" s="18" t="n"/>
      <c r="W28" s="1" t="n"/>
      <c r="X28" s="1" t="n"/>
      <c r="Y28" s="1" t="n"/>
      <c r="Z28" s="1" t="n"/>
      <c r="AA28" s="1" t="n"/>
      <c r="AB28" s="1" t="n"/>
      <c r="AC28" s="1" t="n"/>
      <c r="AD28" s="1" t="n"/>
      <c r="AE28" s="1" t="n"/>
      <c r="AF28" s="1" t="n"/>
      <c r="AG28" s="1" t="n"/>
    </row>
    <row r="29" ht="22.5" customHeight="1">
      <c r="A29" s="18" t="n"/>
      <c r="B29" s="18" t="n"/>
      <c r="C29" s="18" t="n"/>
      <c r="D29" s="18" t="n"/>
      <c r="E29" s="18" t="n"/>
      <c r="F29" s="18" t="n"/>
      <c r="G29" s="18" t="n"/>
      <c r="H29" s="18" t="n"/>
      <c r="I29" s="18" t="n"/>
      <c r="J29" s="18" t="n"/>
      <c r="K29" s="18" t="n"/>
      <c r="L29" s="18" t="n"/>
      <c r="M29" s="18" t="n"/>
      <c r="N29" s="18" t="n"/>
      <c r="O29" s="18" t="n"/>
      <c r="P29" s="18" t="n"/>
      <c r="Q29" s="18" t="n"/>
      <c r="R29" s="18" t="n"/>
      <c r="S29" s="18" t="n"/>
      <c r="T29" s="18" t="n"/>
      <c r="U29" s="18" t="n"/>
      <c r="V29" s="18" t="n"/>
      <c r="W29" s="1" t="n"/>
      <c r="X29" s="1" t="n"/>
      <c r="Y29" s="1" t="n"/>
      <c r="Z29" s="1" t="n"/>
      <c r="AA29" s="1" t="n"/>
      <c r="AB29" s="1" t="n"/>
      <c r="AC29" s="1" t="n"/>
      <c r="AD29" s="1" t="n"/>
      <c r="AE29" s="1" t="n"/>
      <c r="AF29" s="1" t="n"/>
      <c r="AG29" s="1" t="n"/>
    </row>
    <row r="30" ht="22.5" customHeight="1">
      <c r="A30" s="18" t="n"/>
      <c r="B30" s="18" t="n"/>
      <c r="C30" s="18" t="n"/>
      <c r="D30" s="18" t="n"/>
      <c r="E30" s="18" t="n"/>
      <c r="F30" s="18" t="n"/>
      <c r="G30" s="18" t="n"/>
      <c r="H30" s="18" t="n"/>
      <c r="I30" s="18" t="n"/>
      <c r="J30" s="18" t="n"/>
      <c r="K30" s="18" t="n"/>
      <c r="L30" s="18" t="n"/>
      <c r="M30" s="18" t="n"/>
      <c r="N30" s="18" t="n"/>
      <c r="O30" s="18" t="n"/>
      <c r="P30" s="18" t="n"/>
      <c r="Q30" s="18" t="n"/>
      <c r="R30" s="18" t="n"/>
      <c r="S30" s="18" t="n"/>
      <c r="T30" s="18" t="n"/>
      <c r="U30" s="18" t="n"/>
      <c r="V30" s="18" t="n"/>
      <c r="W30" s="1" t="n"/>
      <c r="X30" s="1" t="n"/>
      <c r="Y30" s="1" t="n"/>
      <c r="Z30" s="1" t="n"/>
      <c r="AA30" s="1" t="n"/>
      <c r="AB30" s="1" t="n"/>
      <c r="AC30" s="1" t="n"/>
      <c r="AD30" s="1" t="n"/>
      <c r="AE30" s="1" t="n"/>
      <c r="AF30" s="1" t="n"/>
      <c r="AG30" s="1" t="n"/>
    </row>
    <row r="31" ht="22.5" customHeight="1">
      <c r="A31" s="18" t="n"/>
      <c r="B31" s="18" t="n"/>
      <c r="C31" s="18" t="n"/>
      <c r="D31" s="18" t="n"/>
      <c r="E31" s="18" t="n"/>
      <c r="F31" s="18" t="n"/>
      <c r="G31" s="18" t="n"/>
      <c r="H31" s="18" t="n"/>
      <c r="I31" s="18" t="n"/>
      <c r="J31" s="18" t="n"/>
      <c r="K31" s="18" t="n"/>
      <c r="L31" s="18" t="n"/>
      <c r="M31" s="18" t="n"/>
      <c r="N31" s="18" t="n"/>
      <c r="O31" s="18" t="n"/>
      <c r="P31" s="18" t="n"/>
      <c r="Q31" s="18" t="n"/>
      <c r="R31" s="18" t="n"/>
      <c r="S31" s="18" t="n"/>
      <c r="T31" s="18" t="n"/>
      <c r="U31" s="18" t="n"/>
      <c r="V31" s="18" t="n"/>
      <c r="W31" s="1" t="n"/>
      <c r="X31" s="1" t="n"/>
      <c r="Y31" s="1" t="n"/>
      <c r="Z31" s="1" t="n"/>
      <c r="AA31" s="1" t="n"/>
      <c r="AB31" s="1" t="n"/>
      <c r="AC31" s="1" t="n"/>
      <c r="AD31" s="1" t="n"/>
      <c r="AE31" s="1" t="n"/>
      <c r="AF31" s="1" t="n"/>
      <c r="AG31" s="1" t="n"/>
    </row>
    <row r="32" ht="22.5" customHeight="1">
      <c r="A32" s="18" t="n"/>
      <c r="B32" s="18" t="n"/>
      <c r="C32" s="18" t="n"/>
      <c r="D32" s="18" t="n"/>
      <c r="E32" s="18" t="n"/>
      <c r="F32" s="18" t="n"/>
      <c r="G32" s="18" t="n"/>
      <c r="H32" s="18" t="n"/>
      <c r="I32" s="18" t="n"/>
      <c r="J32" s="18" t="n"/>
      <c r="K32" s="18" t="n"/>
      <c r="L32" s="18" t="n"/>
      <c r="M32" s="18" t="n"/>
      <c r="N32" s="18" t="n"/>
      <c r="O32" s="18" t="n"/>
      <c r="P32" s="18" t="n"/>
      <c r="Q32" s="18" t="n"/>
      <c r="R32" s="18" t="n"/>
      <c r="S32" s="18" t="n"/>
      <c r="T32" s="18" t="n"/>
      <c r="U32" s="18" t="n"/>
      <c r="V32" s="18" t="n"/>
      <c r="W32" s="1" t="n"/>
      <c r="X32" s="1" t="n"/>
      <c r="Y32" s="1" t="n"/>
      <c r="Z32" s="1" t="n"/>
      <c r="AA32" s="1" t="n"/>
      <c r="AB32" s="1" t="n"/>
      <c r="AC32" s="1" t="n"/>
      <c r="AD32" s="1" t="n"/>
      <c r="AE32" s="1" t="n"/>
      <c r="AF32" s="1" t="n"/>
      <c r="AG32" s="1" t="n"/>
    </row>
    <row r="33" ht="22.5" customHeight="1">
      <c r="A33" s="18" t="n"/>
      <c r="B33" s="18" t="n"/>
      <c r="C33" s="18" t="n"/>
      <c r="D33" s="18" t="n"/>
      <c r="E33" s="18" t="n"/>
      <c r="F33" s="18" t="n"/>
      <c r="G33" s="18" t="n"/>
      <c r="H33" s="18" t="n"/>
      <c r="I33" s="18" t="n"/>
      <c r="J33" s="18" t="n"/>
      <c r="K33" s="18" t="n"/>
      <c r="L33" s="18" t="n"/>
      <c r="M33" s="18" t="n"/>
      <c r="N33" s="18" t="n"/>
      <c r="O33" s="18" t="n"/>
      <c r="P33" s="18" t="n"/>
      <c r="Q33" s="18" t="n"/>
      <c r="R33" s="18" t="n"/>
      <c r="S33" s="18" t="n"/>
      <c r="T33" s="18" t="n"/>
      <c r="U33" s="18" t="n"/>
      <c r="V33" s="18" t="n"/>
      <c r="W33" s="1" t="n"/>
      <c r="X33" s="1" t="n"/>
      <c r="Y33" s="1" t="n"/>
      <c r="Z33" s="1" t="n"/>
      <c r="AA33" s="1" t="n"/>
      <c r="AB33" s="1" t="n"/>
      <c r="AC33" s="1" t="n"/>
      <c r="AD33" s="1" t="n"/>
      <c r="AE33" s="1" t="n"/>
      <c r="AF33" s="1" t="n"/>
      <c r="AG33" s="1" t="n"/>
    </row>
    <row r="34" ht="22.5" customHeight="1">
      <c r="A34" s="18" t="n"/>
      <c r="B34" s="18" t="n"/>
      <c r="C34" s="18" t="n"/>
      <c r="D34" s="18" t="n"/>
      <c r="E34" s="18" t="n"/>
      <c r="F34" s="18" t="n"/>
      <c r="G34" s="18" t="n"/>
      <c r="H34" s="18" t="n"/>
      <c r="I34" s="18" t="n"/>
      <c r="J34" s="18" t="n"/>
      <c r="K34" s="18" t="n"/>
      <c r="L34" s="18" t="n"/>
      <c r="M34" s="18" t="n"/>
      <c r="N34" s="18" t="n"/>
      <c r="O34" s="18" t="n"/>
      <c r="P34" s="18" t="n"/>
      <c r="Q34" s="18" t="n"/>
      <c r="R34" s="18" t="n"/>
      <c r="S34" s="18" t="n"/>
      <c r="T34" s="18" t="n"/>
      <c r="U34" s="18" t="n"/>
      <c r="V34" s="18" t="n"/>
      <c r="W34" s="1" t="n"/>
      <c r="X34" s="1" t="n"/>
      <c r="Y34" s="1" t="n"/>
      <c r="Z34" s="1" t="n"/>
      <c r="AA34" s="1" t="n"/>
      <c r="AB34" s="1" t="n"/>
      <c r="AC34" s="1" t="n"/>
      <c r="AD34" s="1" t="n"/>
      <c r="AE34" s="1" t="n"/>
      <c r="AF34" s="1" t="n"/>
      <c r="AG34" s="1" t="n"/>
    </row>
    <row r="35" ht="22.5" customHeight="1">
      <c r="A35" s="18" t="n"/>
      <c r="B35" s="18" t="n"/>
      <c r="C35" s="18" t="n"/>
      <c r="D35" s="18" t="n"/>
      <c r="E35" s="18" t="n"/>
      <c r="F35" s="18" t="n"/>
      <c r="G35" s="18" t="n"/>
      <c r="H35" s="18" t="n"/>
      <c r="I35" s="18" t="n"/>
      <c r="J35" s="18" t="n"/>
      <c r="K35" s="18" t="n"/>
      <c r="L35" s="18" t="n"/>
      <c r="M35" s="18" t="n"/>
      <c r="N35" s="18" t="n"/>
      <c r="O35" s="18" t="n"/>
      <c r="P35" s="18" t="n"/>
      <c r="Q35" s="18" t="n"/>
      <c r="R35" s="18" t="n"/>
      <c r="S35" s="18" t="n"/>
      <c r="T35" s="18" t="n"/>
      <c r="U35" s="18" t="n"/>
      <c r="V35" s="18" t="n"/>
      <c r="W35" s="1" t="n"/>
      <c r="X35" s="1" t="n"/>
      <c r="Y35" s="1" t="n"/>
      <c r="Z35" s="1" t="n"/>
      <c r="AA35" s="1" t="n"/>
      <c r="AB35" s="1" t="n"/>
      <c r="AC35" s="1" t="n"/>
      <c r="AD35" s="1" t="n"/>
      <c r="AE35" s="1" t="n"/>
      <c r="AF35" s="1" t="n"/>
      <c r="AG35" s="1" t="n"/>
    </row>
    <row r="36" ht="22.5" customHeight="1">
      <c r="A36" s="18" t="n"/>
      <c r="B36" s="18" t="n"/>
      <c r="C36" s="18" t="n"/>
      <c r="D36" s="18" t="n"/>
      <c r="E36" s="18" t="n"/>
      <c r="F36" s="18" t="n"/>
      <c r="G36" s="18" t="n"/>
      <c r="H36" s="18" t="n"/>
      <c r="I36" s="18" t="n"/>
      <c r="J36" s="18" t="n"/>
      <c r="K36" s="18" t="n"/>
      <c r="L36" s="18" t="n"/>
      <c r="M36" s="18" t="n"/>
      <c r="N36" s="18" t="n"/>
      <c r="O36" s="18" t="n"/>
      <c r="P36" s="18" t="n"/>
      <c r="Q36" s="18" t="n"/>
      <c r="R36" s="18" t="n"/>
      <c r="S36" s="18" t="n"/>
      <c r="T36" s="18" t="n"/>
      <c r="U36" s="18" t="n"/>
      <c r="V36" s="18" t="n"/>
      <c r="W36" s="1" t="n"/>
      <c r="X36" s="1" t="n"/>
      <c r="Y36" s="1" t="n"/>
      <c r="Z36" s="1" t="n"/>
      <c r="AA36" s="1" t="n"/>
      <c r="AB36" s="1" t="n"/>
      <c r="AC36" s="1" t="n"/>
      <c r="AD36" s="1" t="n"/>
      <c r="AE36" s="1" t="n"/>
      <c r="AF36" s="1" t="n"/>
      <c r="AG36" s="1" t="n"/>
    </row>
    <row r="37" ht="22.5" customHeight="1">
      <c r="A37" s="18" t="n"/>
      <c r="B37" s="18" t="n"/>
      <c r="C37" s="18" t="n"/>
      <c r="D37" s="18" t="n"/>
      <c r="E37" s="18" t="n"/>
      <c r="F37" s="18" t="n"/>
      <c r="G37" s="18" t="n"/>
      <c r="H37" s="18" t="n"/>
      <c r="I37" s="18" t="n"/>
      <c r="J37" s="18" t="n"/>
      <c r="K37" s="18" t="n"/>
      <c r="L37" s="18" t="n"/>
      <c r="M37" s="18" t="n"/>
      <c r="N37" s="18" t="n"/>
      <c r="O37" s="18" t="n"/>
      <c r="P37" s="18" t="n"/>
      <c r="Q37" s="18" t="n"/>
      <c r="R37" s="18" t="n"/>
      <c r="S37" s="18" t="n"/>
      <c r="T37" s="18" t="n"/>
      <c r="U37" s="18" t="n"/>
      <c r="V37" s="18" t="n"/>
      <c r="W37" s="1" t="n"/>
      <c r="X37" s="1" t="n"/>
      <c r="Y37" s="1" t="n"/>
      <c r="Z37" s="1" t="n"/>
      <c r="AA37" s="1" t="n"/>
      <c r="AB37" s="1" t="n"/>
      <c r="AC37" s="1" t="n"/>
      <c r="AD37" s="1" t="n"/>
      <c r="AE37" s="1" t="n"/>
      <c r="AF37" s="1" t="n"/>
      <c r="AG37" s="1" t="n"/>
    </row>
    <row r="38" ht="22.5" customHeight="1">
      <c r="A38" s="18" t="n"/>
      <c r="B38" s="18" t="n"/>
      <c r="C38" s="18" t="n"/>
      <c r="D38" s="18" t="n"/>
      <c r="E38" s="18" t="n"/>
      <c r="F38" s="18" t="n"/>
      <c r="G38" s="18" t="n"/>
      <c r="H38" s="18" t="n"/>
      <c r="I38" s="18" t="n"/>
      <c r="J38" s="18" t="n"/>
      <c r="K38" s="18" t="n"/>
      <c r="L38" s="18" t="n"/>
      <c r="M38" s="18" t="n"/>
      <c r="N38" s="18" t="n"/>
      <c r="O38" s="18" t="n"/>
      <c r="P38" s="18" t="n"/>
      <c r="Q38" s="18" t="n"/>
      <c r="R38" s="18" t="n"/>
      <c r="S38" s="18" t="n"/>
      <c r="T38" s="18" t="n"/>
      <c r="U38" s="18" t="n"/>
      <c r="V38" s="18" t="n"/>
      <c r="W38" s="1" t="n"/>
      <c r="X38" s="1" t="n"/>
      <c r="Y38" s="1" t="n"/>
      <c r="Z38" s="1" t="n"/>
      <c r="AA38" s="1" t="n"/>
      <c r="AB38" s="1" t="n"/>
      <c r="AC38" s="1" t="n"/>
      <c r="AD38" s="1" t="n"/>
      <c r="AE38" s="1" t="n"/>
      <c r="AF38" s="1" t="n"/>
      <c r="AG38" s="1" t="n"/>
    </row>
    <row r="39" ht="22.5" customHeight="1">
      <c r="A39" s="18" t="n"/>
      <c r="B39" s="18" t="n"/>
      <c r="C39" s="18" t="n"/>
      <c r="D39" s="18" t="n"/>
      <c r="E39" s="18" t="n"/>
      <c r="F39" s="18" t="n"/>
      <c r="G39" s="18" t="n"/>
      <c r="H39" s="18" t="n"/>
      <c r="I39" s="18" t="n"/>
      <c r="J39" s="18" t="n"/>
      <c r="K39" s="18" t="n"/>
      <c r="L39" s="18" t="n"/>
      <c r="M39" s="18" t="n"/>
      <c r="N39" s="18" t="n"/>
      <c r="O39" s="18" t="n"/>
      <c r="P39" s="18" t="n"/>
      <c r="Q39" s="18" t="n"/>
      <c r="R39" s="18" t="n"/>
      <c r="S39" s="18" t="n"/>
      <c r="T39" s="18" t="n"/>
      <c r="U39" s="18" t="n"/>
      <c r="V39" s="18" t="n"/>
      <c r="W39" s="1" t="n"/>
      <c r="X39" s="1" t="n"/>
      <c r="Y39" s="1" t="n"/>
      <c r="Z39" s="1" t="n"/>
      <c r="AA39" s="1" t="n"/>
      <c r="AB39" s="1" t="n"/>
      <c r="AC39" s="1" t="n"/>
      <c r="AD39" s="1" t="n"/>
      <c r="AE39" s="1" t="n"/>
      <c r="AF39" s="1" t="n"/>
      <c r="AG39" s="1" t="n"/>
    </row>
    <row r="40" ht="22.5" customHeight="1">
      <c r="A40" s="18" t="n"/>
      <c r="B40" s="18" t="n"/>
      <c r="C40" s="18" t="n"/>
      <c r="D40" s="18" t="n"/>
      <c r="E40" s="18" t="n"/>
      <c r="F40" s="18" t="n"/>
      <c r="G40" s="18" t="n"/>
      <c r="H40" s="18" t="n"/>
      <c r="I40" s="18" t="n"/>
      <c r="J40" s="18" t="n"/>
      <c r="K40" s="18" t="n"/>
      <c r="L40" s="18" t="n"/>
      <c r="M40" s="18" t="n"/>
      <c r="N40" s="18" t="n"/>
      <c r="O40" s="18" t="n"/>
      <c r="P40" s="18" t="n"/>
      <c r="Q40" s="18" t="n"/>
      <c r="R40" s="18" t="n"/>
      <c r="S40" s="18" t="n"/>
      <c r="T40" s="18" t="n"/>
      <c r="U40" s="18" t="n"/>
      <c r="V40" s="18" t="n"/>
      <c r="W40" s="1" t="n"/>
      <c r="X40" s="1" t="n"/>
      <c r="Y40" s="1" t="n"/>
      <c r="Z40" s="1" t="n"/>
      <c r="AA40" s="1" t="n"/>
      <c r="AB40" s="1" t="n"/>
      <c r="AC40" s="1" t="n"/>
      <c r="AD40" s="1" t="n"/>
      <c r="AE40" s="1" t="n"/>
      <c r="AF40" s="1" t="n"/>
      <c r="AG40" s="1" t="n"/>
    </row>
    <row r="41" ht="22.5" customHeight="1">
      <c r="A41" s="18" t="n"/>
      <c r="B41" s="18" t="n"/>
      <c r="C41" s="18" t="n"/>
      <c r="D41" s="18" t="n"/>
      <c r="E41" s="18" t="n"/>
      <c r="F41" s="18" t="n"/>
      <c r="G41" s="18" t="n"/>
      <c r="H41" s="18" t="n"/>
      <c r="I41" s="18" t="n"/>
      <c r="J41" s="18" t="n"/>
      <c r="K41" s="18" t="n"/>
      <c r="L41" s="18" t="n"/>
      <c r="M41" s="18" t="n"/>
      <c r="N41" s="18" t="n"/>
      <c r="O41" s="18" t="n"/>
      <c r="P41" s="18" t="n"/>
      <c r="Q41" s="18" t="n"/>
      <c r="R41" s="18" t="n"/>
      <c r="S41" s="18" t="n"/>
      <c r="T41" s="18" t="n"/>
      <c r="U41" s="18" t="n"/>
      <c r="V41" s="18" t="n"/>
      <c r="W41" s="1" t="n"/>
      <c r="X41" s="1" t="n"/>
      <c r="Y41" s="1" t="n"/>
      <c r="Z41" s="1" t="n"/>
      <c r="AA41" s="1" t="n"/>
      <c r="AB41" s="1" t="n"/>
      <c r="AC41" s="1" t="n"/>
      <c r="AD41" s="1" t="n"/>
      <c r="AE41" s="1" t="n"/>
      <c r="AF41" s="1" t="n"/>
      <c r="AG41" s="1" t="n"/>
    </row>
    <row r="42" ht="22.5" customHeight="1">
      <c r="A42" s="18" t="n"/>
      <c r="B42" s="18" t="n"/>
      <c r="C42" s="18" t="n"/>
      <c r="D42" s="18" t="n"/>
      <c r="E42" s="18" t="n"/>
      <c r="F42" s="18" t="n"/>
      <c r="G42" s="18" t="n"/>
      <c r="H42" s="18" t="n"/>
      <c r="I42" s="18" t="n"/>
      <c r="J42" s="18" t="n"/>
      <c r="K42" s="18" t="n"/>
      <c r="L42" s="18" t="n"/>
      <c r="M42" s="18" t="n"/>
      <c r="N42" s="18" t="n"/>
      <c r="O42" s="18" t="n"/>
      <c r="P42" s="18" t="n"/>
      <c r="Q42" s="18" t="n"/>
      <c r="R42" s="18" t="n"/>
      <c r="S42" s="18" t="n"/>
      <c r="T42" s="18" t="n"/>
      <c r="U42" s="18" t="n"/>
      <c r="V42" s="18" t="n"/>
      <c r="W42" s="1" t="n"/>
      <c r="X42" s="1" t="n"/>
      <c r="Y42" s="1" t="n"/>
      <c r="Z42" s="1" t="n"/>
      <c r="AA42" s="1" t="n"/>
      <c r="AB42" s="1" t="n"/>
      <c r="AC42" s="1" t="n"/>
      <c r="AD42" s="1" t="n"/>
      <c r="AE42" s="1" t="n"/>
      <c r="AF42" s="1" t="n"/>
      <c r="AG42" s="1" t="n"/>
    </row>
    <row r="43" ht="22.5" customHeight="1">
      <c r="A43" s="18" t="n"/>
      <c r="B43" s="18" t="n"/>
      <c r="C43" s="18" t="n"/>
      <c r="D43" s="18" t="n"/>
      <c r="E43" s="18" t="n"/>
      <c r="F43" s="18" t="n"/>
      <c r="G43" s="18" t="n"/>
      <c r="H43" s="18" t="n"/>
      <c r="I43" s="18" t="n"/>
      <c r="J43" s="18" t="n"/>
      <c r="K43" s="18" t="n"/>
      <c r="L43" s="18" t="n"/>
      <c r="M43" s="18" t="n"/>
      <c r="N43" s="18" t="n"/>
      <c r="O43" s="18" t="n"/>
      <c r="P43" s="18" t="n"/>
      <c r="Q43" s="18" t="n"/>
      <c r="R43" s="18" t="n"/>
      <c r="S43" s="18" t="n"/>
      <c r="T43" s="18" t="n"/>
      <c r="U43" s="18" t="n"/>
      <c r="V43" s="18" t="n"/>
      <c r="W43" s="1" t="n"/>
      <c r="X43" s="1" t="n"/>
      <c r="Y43" s="1" t="n"/>
      <c r="Z43" s="1" t="n"/>
      <c r="AA43" s="1" t="n"/>
      <c r="AB43" s="1" t="n"/>
      <c r="AC43" s="1" t="n"/>
      <c r="AD43" s="1" t="n"/>
      <c r="AE43" s="1" t="n"/>
      <c r="AF43" s="1" t="n"/>
      <c r="AG43" s="1" t="n"/>
    </row>
    <row r="44" ht="22.5" customHeight="1">
      <c r="A44" s="18" t="n"/>
      <c r="B44" s="18" t="n"/>
      <c r="C44" s="18" t="n"/>
      <c r="D44" s="18" t="n"/>
      <c r="E44" s="18" t="n"/>
      <c r="F44" s="18" t="n"/>
      <c r="G44" s="18" t="n"/>
      <c r="H44" s="18" t="n"/>
      <c r="I44" s="18" t="n"/>
      <c r="J44" s="18" t="n"/>
      <c r="K44" s="18" t="n"/>
      <c r="L44" s="18" t="n"/>
      <c r="M44" s="18" t="n"/>
      <c r="N44" s="18" t="n"/>
      <c r="O44" s="18" t="n"/>
      <c r="P44" s="18" t="n"/>
      <c r="Q44" s="18" t="n"/>
      <c r="R44" s="18" t="n"/>
      <c r="S44" s="18" t="n"/>
      <c r="T44" s="18" t="n"/>
      <c r="U44" s="18" t="n"/>
      <c r="V44" s="18" t="n"/>
      <c r="W44" s="1" t="n"/>
      <c r="X44" s="1" t="n"/>
      <c r="Y44" s="1" t="n"/>
      <c r="Z44" s="1" t="n"/>
      <c r="AA44" s="1" t="n"/>
      <c r="AB44" s="1" t="n"/>
      <c r="AC44" s="1" t="n"/>
      <c r="AD44" s="1" t="n"/>
      <c r="AE44" s="1" t="n"/>
      <c r="AF44" s="1" t="n"/>
      <c r="AG44" s="1" t="n"/>
    </row>
    <row r="45" ht="22.5" customHeight="1">
      <c r="A45" s="18" t="n"/>
      <c r="B45" s="18" t="n"/>
      <c r="C45" s="18" t="n"/>
      <c r="D45" s="18" t="n"/>
      <c r="E45" s="18" t="n"/>
      <c r="F45" s="18" t="n"/>
      <c r="G45" s="18" t="n"/>
      <c r="H45" s="18" t="n"/>
      <c r="I45" s="18" t="n"/>
      <c r="J45" s="18" t="n"/>
      <c r="K45" s="18" t="n"/>
      <c r="L45" s="18" t="n"/>
      <c r="M45" s="18" t="n"/>
      <c r="N45" s="18" t="n"/>
      <c r="O45" s="18" t="n"/>
      <c r="P45" s="18" t="n"/>
      <c r="Q45" s="18" t="n"/>
      <c r="R45" s="18" t="n"/>
      <c r="S45" s="18" t="n"/>
      <c r="T45" s="18" t="n"/>
      <c r="U45" s="18" t="n"/>
      <c r="V45" s="18" t="n"/>
      <c r="W45" s="1" t="n"/>
      <c r="X45" s="1" t="n"/>
      <c r="Y45" s="1" t="n"/>
      <c r="Z45" s="1" t="n"/>
      <c r="AA45" s="1" t="n"/>
      <c r="AB45" s="1" t="n"/>
      <c r="AC45" s="1" t="n"/>
      <c r="AD45" s="1" t="n"/>
      <c r="AE45" s="1" t="n"/>
      <c r="AF45" s="1" t="n"/>
      <c r="AG45" s="1" t="n"/>
    </row>
    <row r="46" ht="22.5" customHeight="1">
      <c r="A46" s="18" t="n"/>
      <c r="B46" s="18" t="n"/>
      <c r="C46" s="18" t="n"/>
      <c r="D46" s="18" t="n"/>
      <c r="E46" s="18" t="n"/>
      <c r="F46" s="18" t="n"/>
      <c r="G46" s="18" t="n"/>
      <c r="H46" s="18" t="n"/>
      <c r="I46" s="18" t="n"/>
      <c r="J46" s="18" t="n"/>
      <c r="K46" s="18" t="n"/>
      <c r="L46" s="18" t="n"/>
      <c r="M46" s="18" t="n"/>
      <c r="N46" s="18" t="n"/>
      <c r="O46" s="18" t="n"/>
      <c r="P46" s="18" t="n"/>
      <c r="Q46" s="18" t="n"/>
      <c r="R46" s="18" t="n"/>
      <c r="S46" s="18" t="n"/>
      <c r="T46" s="18" t="n"/>
      <c r="U46" s="18" t="n"/>
      <c r="V46" s="18" t="n"/>
      <c r="W46" s="1" t="n"/>
      <c r="X46" s="1" t="n"/>
      <c r="Y46" s="1" t="n"/>
      <c r="Z46" s="1" t="n"/>
      <c r="AA46" s="1" t="n"/>
      <c r="AB46" s="1" t="n"/>
      <c r="AC46" s="1" t="n"/>
      <c r="AD46" s="1" t="n"/>
      <c r="AE46" s="1" t="n"/>
      <c r="AF46" s="1" t="n"/>
      <c r="AG46" s="1" t="n"/>
    </row>
    <row r="47" ht="22.5" customHeight="1">
      <c r="A47" s="18" t="n"/>
      <c r="B47" s="18" t="n"/>
      <c r="C47" s="18" t="n"/>
      <c r="D47" s="18" t="n"/>
      <c r="E47" s="18" t="n"/>
      <c r="F47" s="18" t="n"/>
      <c r="G47" s="18" t="n"/>
      <c r="H47" s="18" t="n"/>
      <c r="I47" s="18" t="n"/>
      <c r="J47" s="18" t="n"/>
      <c r="K47" s="18" t="n"/>
      <c r="L47" s="18" t="n"/>
      <c r="M47" s="18" t="n"/>
      <c r="N47" s="18" t="n"/>
      <c r="O47" s="18" t="n"/>
      <c r="P47" s="18" t="n"/>
      <c r="Q47" s="18" t="n"/>
      <c r="R47" s="18" t="n"/>
      <c r="S47" s="18" t="n"/>
      <c r="T47" s="18" t="n"/>
      <c r="U47" s="18" t="n"/>
      <c r="V47" s="18" t="n"/>
      <c r="W47" s="1" t="n"/>
      <c r="X47" s="1" t="n"/>
      <c r="Y47" s="1" t="n"/>
      <c r="Z47" s="1" t="n"/>
      <c r="AA47" s="1" t="n"/>
      <c r="AB47" s="1" t="n"/>
      <c r="AC47" s="1" t="n"/>
      <c r="AD47" s="1" t="n"/>
      <c r="AE47" s="1" t="n"/>
      <c r="AF47" s="1" t="n"/>
      <c r="AG47" s="1" t="n"/>
    </row>
    <row r="48" ht="22.5" customHeight="1">
      <c r="A48" s="18" t="n"/>
      <c r="B48" s="18" t="n"/>
      <c r="C48" s="18" t="n"/>
      <c r="D48" s="18" t="n"/>
      <c r="E48" s="18" t="n"/>
      <c r="F48" s="18" t="n"/>
      <c r="G48" s="18" t="n"/>
      <c r="H48" s="18" t="n"/>
      <c r="I48" s="18" t="n"/>
      <c r="J48" s="18" t="n"/>
      <c r="K48" s="18" t="n"/>
      <c r="L48" s="18" t="n"/>
      <c r="M48" s="18" t="n"/>
      <c r="N48" s="18" t="n"/>
      <c r="O48" s="18" t="n"/>
      <c r="P48" s="18" t="n"/>
      <c r="Q48" s="18" t="n"/>
      <c r="R48" s="18" t="n"/>
      <c r="S48" s="18" t="n"/>
      <c r="T48" s="18" t="n"/>
      <c r="U48" s="18" t="n"/>
      <c r="V48" s="18" t="n"/>
      <c r="W48" s="1" t="n"/>
      <c r="X48" s="1" t="n"/>
      <c r="Y48" s="1" t="n"/>
      <c r="Z48" s="1" t="n"/>
      <c r="AA48" s="1" t="n"/>
      <c r="AB48" s="1" t="n"/>
      <c r="AC48" s="1" t="n"/>
      <c r="AD48" s="1" t="n"/>
      <c r="AE48" s="1" t="n"/>
      <c r="AF48" s="1" t="n"/>
      <c r="AG48" s="1" t="n"/>
    </row>
    <row r="49" ht="22.5" customHeight="1">
      <c r="A49" s="18" t="n"/>
      <c r="B49" s="18" t="n"/>
      <c r="C49" s="18" t="n"/>
      <c r="D49" s="18" t="n"/>
      <c r="E49" s="18" t="n"/>
      <c r="F49" s="18" t="n"/>
      <c r="G49" s="18" t="n"/>
      <c r="H49" s="18" t="n"/>
      <c r="I49" s="18" t="n"/>
      <c r="J49" s="18" t="n"/>
      <c r="K49" s="18" t="n"/>
      <c r="L49" s="18" t="n"/>
      <c r="M49" s="18" t="n"/>
      <c r="N49" s="18" t="n"/>
      <c r="O49" s="18" t="n"/>
      <c r="P49" s="18" t="n"/>
      <c r="Q49" s="18" t="n"/>
      <c r="R49" s="18" t="n"/>
      <c r="S49" s="18" t="n"/>
      <c r="T49" s="18" t="n"/>
      <c r="U49" s="18" t="n"/>
      <c r="V49" s="18" t="n"/>
      <c r="W49" s="1" t="n"/>
      <c r="X49" s="1" t="n"/>
      <c r="Y49" s="1" t="n"/>
      <c r="Z49" s="1" t="n"/>
      <c r="AA49" s="1" t="n"/>
      <c r="AB49" s="1" t="n"/>
      <c r="AC49" s="1" t="n"/>
      <c r="AD49" s="1" t="n"/>
      <c r="AE49" s="1" t="n"/>
      <c r="AF49" s="1" t="n"/>
      <c r="AG49" s="1" t="n"/>
    </row>
    <row r="50" ht="22.5" customHeight="1">
      <c r="A50" s="18" t="n"/>
      <c r="B50" s="18" t="n"/>
      <c r="C50" s="18" t="n"/>
      <c r="D50" s="18" t="n"/>
      <c r="E50" s="18" t="n"/>
      <c r="F50" s="18" t="n"/>
      <c r="G50" s="18" t="n"/>
      <c r="H50" s="18" t="n"/>
      <c r="I50" s="18" t="n"/>
      <c r="J50" s="18" t="n"/>
      <c r="K50" s="18" t="n"/>
      <c r="L50" s="18" t="n"/>
      <c r="M50" s="18" t="n"/>
      <c r="N50" s="18" t="n"/>
      <c r="O50" s="18" t="n"/>
      <c r="P50" s="18" t="n"/>
      <c r="Q50" s="18" t="n"/>
      <c r="R50" s="18" t="n"/>
      <c r="S50" s="18" t="n"/>
      <c r="T50" s="18" t="n"/>
      <c r="U50" s="18" t="n"/>
      <c r="V50" s="18" t="n"/>
      <c r="W50" s="1" t="n"/>
      <c r="X50" s="1" t="n"/>
      <c r="Y50" s="1" t="n"/>
      <c r="Z50" s="1" t="n"/>
      <c r="AA50" s="1" t="n"/>
      <c r="AB50" s="1" t="n"/>
      <c r="AC50" s="1" t="n"/>
      <c r="AD50" s="1" t="n"/>
      <c r="AE50" s="1" t="n"/>
      <c r="AF50" s="1" t="n"/>
      <c r="AG50" s="1" t="n"/>
    </row>
    <row r="51" ht="22.5" customHeight="1">
      <c r="A51" s="18" t="n"/>
      <c r="B51" s="18" t="n"/>
      <c r="C51" s="18" t="n"/>
      <c r="D51" s="18" t="n"/>
      <c r="E51" s="18" t="n"/>
      <c r="F51" s="18" t="n"/>
      <c r="G51" s="18" t="n"/>
      <c r="H51" s="18" t="n"/>
      <c r="I51" s="18" t="n"/>
      <c r="J51" s="18" t="n"/>
      <c r="K51" s="18" t="n"/>
      <c r="L51" s="18" t="n"/>
      <c r="M51" s="18" t="n"/>
      <c r="N51" s="18" t="n"/>
      <c r="O51" s="18" t="n"/>
      <c r="P51" s="18" t="n"/>
      <c r="Q51" s="18" t="n"/>
      <c r="R51" s="18" t="n"/>
      <c r="S51" s="18" t="n"/>
      <c r="T51" s="18" t="n"/>
      <c r="U51" s="18" t="n"/>
      <c r="V51" s="18" t="n"/>
      <c r="W51" s="1" t="n"/>
      <c r="X51" s="1" t="n"/>
      <c r="Y51" s="1" t="n"/>
      <c r="Z51" s="1" t="n"/>
      <c r="AA51" s="1" t="n"/>
      <c r="AB51" s="1" t="n"/>
      <c r="AC51" s="1" t="n"/>
      <c r="AD51" s="1" t="n"/>
      <c r="AE51" s="1" t="n"/>
      <c r="AF51" s="1" t="n"/>
      <c r="AG51" s="1" t="n"/>
    </row>
    <row r="52" ht="22.5" customHeight="1">
      <c r="A52" s="18" t="n"/>
      <c r="B52" s="18" t="n"/>
      <c r="C52" s="18" t="n"/>
      <c r="D52" s="18" t="n"/>
      <c r="E52" s="18" t="n"/>
      <c r="F52" s="18" t="n"/>
      <c r="G52" s="18" t="n"/>
      <c r="H52" s="18" t="n"/>
      <c r="I52" s="18" t="n"/>
      <c r="J52" s="18" t="n"/>
      <c r="K52" s="18" t="n"/>
      <c r="L52" s="18" t="n"/>
      <c r="M52" s="18" t="n"/>
      <c r="N52" s="18" t="n"/>
      <c r="O52" s="18" t="n"/>
      <c r="P52" s="18" t="n"/>
      <c r="Q52" s="18" t="n"/>
      <c r="R52" s="18" t="n"/>
      <c r="S52" s="18" t="n"/>
      <c r="T52" s="18" t="n"/>
      <c r="U52" s="18" t="n"/>
      <c r="V52" s="18" t="n"/>
      <c r="W52" s="1" t="n"/>
      <c r="X52" s="1" t="n"/>
      <c r="Y52" s="1" t="n"/>
      <c r="Z52" s="1" t="n"/>
      <c r="AA52" s="1" t="n"/>
      <c r="AB52" s="1" t="n"/>
      <c r="AC52" s="1" t="n"/>
      <c r="AD52" s="1" t="n"/>
      <c r="AE52" s="1" t="n"/>
      <c r="AF52" s="1" t="n"/>
      <c r="AG52" s="1" t="n"/>
    </row>
    <row r="53" ht="22.5" customHeight="1">
      <c r="A53" s="18" t="n"/>
      <c r="B53" s="18" t="n"/>
      <c r="C53" s="18" t="n"/>
      <c r="D53" s="18" t="n"/>
      <c r="E53" s="18" t="n"/>
      <c r="F53" s="18" t="n"/>
      <c r="G53" s="18" t="n"/>
      <c r="H53" s="18" t="n"/>
      <c r="I53" s="18" t="n"/>
      <c r="J53" s="18" t="n"/>
      <c r="K53" s="18" t="n"/>
      <c r="L53" s="18" t="n"/>
      <c r="M53" s="18" t="n"/>
      <c r="N53" s="18" t="n"/>
      <c r="O53" s="18" t="n"/>
      <c r="P53" s="18" t="n"/>
      <c r="Q53" s="18" t="n"/>
      <c r="R53" s="18" t="n"/>
      <c r="S53" s="18" t="n"/>
      <c r="T53" s="18" t="n"/>
      <c r="U53" s="18" t="n"/>
      <c r="V53" s="18" t="n"/>
      <c r="W53" s="1" t="n"/>
      <c r="X53" s="1" t="n"/>
      <c r="Y53" s="1" t="n"/>
      <c r="Z53" s="1" t="n"/>
      <c r="AA53" s="1" t="n"/>
      <c r="AB53" s="1" t="n"/>
      <c r="AC53" s="1" t="n"/>
      <c r="AD53" s="1" t="n"/>
      <c r="AE53" s="1" t="n"/>
      <c r="AF53" s="1" t="n"/>
      <c r="AG53" s="1" t="n"/>
    </row>
    <row r="54" ht="22.5" customHeight="1">
      <c r="A54" s="18" t="n"/>
      <c r="B54" s="18" t="n"/>
      <c r="C54" s="18" t="n"/>
      <c r="D54" s="18" t="n"/>
      <c r="E54" s="18" t="n"/>
      <c r="F54" s="18" t="n"/>
      <c r="G54" s="18" t="n"/>
      <c r="H54" s="18" t="n"/>
      <c r="I54" s="18" t="n"/>
      <c r="J54" s="18" t="n"/>
      <c r="K54" s="18" t="n"/>
      <c r="L54" s="18" t="n"/>
      <c r="M54" s="18" t="n"/>
      <c r="N54" s="18" t="n"/>
      <c r="O54" s="18" t="n"/>
      <c r="P54" s="18" t="n"/>
      <c r="Q54" s="18" t="n"/>
      <c r="R54" s="18" t="n"/>
      <c r="S54" s="18" t="n"/>
      <c r="T54" s="18" t="n"/>
      <c r="U54" s="18" t="n"/>
      <c r="V54" s="18" t="n"/>
      <c r="W54" s="1" t="n"/>
      <c r="X54" s="1" t="n"/>
      <c r="Y54" s="1" t="n"/>
      <c r="Z54" s="1" t="n"/>
      <c r="AA54" s="1" t="n"/>
      <c r="AB54" s="1" t="n"/>
      <c r="AC54" s="1" t="n"/>
      <c r="AD54" s="1" t="n"/>
      <c r="AE54" s="1" t="n"/>
      <c r="AF54" s="1" t="n"/>
      <c r="AG54" s="1" t="n"/>
    </row>
    <row r="55" ht="22.5" customHeight="1">
      <c r="A55" s="18" t="n"/>
      <c r="B55" s="18" t="n"/>
      <c r="C55" s="18" t="n"/>
      <c r="D55" s="18" t="n"/>
      <c r="E55" s="18" t="n"/>
      <c r="F55" s="18" t="n"/>
      <c r="G55" s="18" t="n"/>
      <c r="H55" s="18" t="n"/>
      <c r="I55" s="18" t="n"/>
      <c r="J55" s="18" t="n"/>
      <c r="K55" s="18" t="n"/>
      <c r="L55" s="18" t="n"/>
      <c r="M55" s="18" t="n"/>
      <c r="N55" s="18" t="n"/>
      <c r="O55" s="18" t="n"/>
      <c r="P55" s="18" t="n"/>
      <c r="Q55" s="18" t="n"/>
      <c r="R55" s="18" t="n"/>
      <c r="S55" s="18" t="n"/>
      <c r="T55" s="18" t="n"/>
      <c r="U55" s="18" t="n"/>
      <c r="V55" s="18" t="n"/>
      <c r="W55" s="1" t="n"/>
      <c r="X55" s="1" t="n"/>
      <c r="Y55" s="1" t="n"/>
      <c r="Z55" s="1" t="n"/>
      <c r="AA55" s="1" t="n"/>
      <c r="AB55" s="1" t="n"/>
      <c r="AC55" s="1" t="n"/>
      <c r="AD55" s="1" t="n"/>
      <c r="AE55" s="1" t="n"/>
      <c r="AF55" s="1" t="n"/>
      <c r="AG55" s="1" t="n"/>
    </row>
    <row r="56" ht="22.5" customHeight="1">
      <c r="A56" s="18" t="n"/>
      <c r="B56" s="18" t="n"/>
      <c r="C56" s="18" t="n"/>
      <c r="D56" s="18" t="n"/>
      <c r="E56" s="18" t="n"/>
      <c r="F56" s="18" t="n"/>
      <c r="G56" s="18" t="n"/>
      <c r="H56" s="18" t="n"/>
      <c r="I56" s="18" t="n"/>
      <c r="J56" s="18" t="n"/>
      <c r="K56" s="18" t="n"/>
      <c r="L56" s="18" t="n"/>
      <c r="M56" s="18" t="n"/>
      <c r="N56" s="18" t="n"/>
      <c r="O56" s="18" t="n"/>
      <c r="P56" s="18" t="n"/>
      <c r="Q56" s="18" t="n"/>
      <c r="R56" s="18" t="n"/>
      <c r="S56" s="18" t="n"/>
      <c r="T56" s="18" t="n"/>
      <c r="U56" s="18" t="n"/>
      <c r="V56" s="18" t="n"/>
      <c r="W56" s="1" t="n"/>
      <c r="X56" s="1" t="n"/>
      <c r="Y56" s="1" t="n"/>
      <c r="Z56" s="1" t="n"/>
      <c r="AA56" s="1" t="n"/>
      <c r="AB56" s="1" t="n"/>
      <c r="AC56" s="1" t="n"/>
      <c r="AD56" s="1" t="n"/>
      <c r="AE56" s="1" t="n"/>
      <c r="AF56" s="1" t="n"/>
      <c r="AG56" s="1" t="n"/>
    </row>
    <row r="57" ht="22.5" customHeight="1">
      <c r="A57" s="18" t="n"/>
      <c r="B57" s="18" t="n"/>
      <c r="C57" s="18" t="n"/>
      <c r="D57" s="18" t="n"/>
      <c r="E57" s="18" t="n"/>
      <c r="F57" s="18" t="n"/>
      <c r="G57" s="18" t="n"/>
      <c r="H57" s="18" t="n"/>
      <c r="I57" s="18" t="n"/>
      <c r="J57" s="18" t="n"/>
      <c r="K57" s="18" t="n"/>
      <c r="L57" s="18" t="n"/>
      <c r="M57" s="18" t="n"/>
      <c r="N57" s="18" t="n"/>
      <c r="O57" s="18" t="n"/>
      <c r="P57" s="18" t="n"/>
      <c r="Q57" s="18" t="n"/>
      <c r="R57" s="18" t="n"/>
      <c r="S57" s="18" t="n"/>
      <c r="T57" s="18" t="n"/>
      <c r="U57" s="18" t="n"/>
      <c r="V57" s="18" t="n"/>
      <c r="W57" s="1" t="n"/>
      <c r="X57" s="1" t="n"/>
      <c r="Y57" s="1" t="n"/>
      <c r="Z57" s="1" t="n"/>
      <c r="AA57" s="1" t="n"/>
      <c r="AB57" s="1" t="n"/>
      <c r="AC57" s="1" t="n"/>
      <c r="AD57" s="1" t="n"/>
      <c r="AE57" s="1" t="n"/>
      <c r="AF57" s="1" t="n"/>
      <c r="AG57" s="1" t="n"/>
    </row>
    <row r="58" ht="22.5" customHeight="1">
      <c r="A58" s="18" t="n"/>
      <c r="B58" s="18" t="n"/>
      <c r="C58" s="18" t="n"/>
      <c r="D58" s="18" t="n"/>
      <c r="E58" s="18" t="n"/>
      <c r="F58" s="18" t="n"/>
      <c r="G58" s="18" t="n"/>
      <c r="H58" s="18" t="n"/>
      <c r="I58" s="18" t="n"/>
      <c r="J58" s="18" t="n"/>
      <c r="K58" s="18" t="n"/>
      <c r="L58" s="18" t="n"/>
      <c r="M58" s="18" t="n"/>
      <c r="N58" s="18" t="n"/>
      <c r="O58" s="18" t="n"/>
      <c r="P58" s="18" t="n"/>
      <c r="Q58" s="18" t="n"/>
      <c r="R58" s="18" t="n"/>
      <c r="S58" s="18" t="n"/>
      <c r="T58" s="18" t="n"/>
      <c r="U58" s="18" t="n"/>
      <c r="V58" s="18" t="n"/>
      <c r="W58" s="1" t="n"/>
      <c r="X58" s="1" t="n"/>
      <c r="Y58" s="1" t="n"/>
      <c r="Z58" s="1" t="n"/>
      <c r="AA58" s="1" t="n"/>
      <c r="AB58" s="1" t="n"/>
      <c r="AC58" s="1" t="n"/>
      <c r="AD58" s="1" t="n"/>
      <c r="AE58" s="1" t="n"/>
      <c r="AF58" s="1" t="n"/>
      <c r="AG58" s="1" t="n"/>
    </row>
    <row r="59" ht="22.5" customHeight="1">
      <c r="A59" s="18" t="n"/>
      <c r="B59" s="18" t="n"/>
      <c r="C59" s="18" t="n"/>
      <c r="D59" s="18" t="n"/>
      <c r="E59" s="18" t="n"/>
      <c r="F59" s="18" t="n"/>
      <c r="G59" s="18" t="n"/>
      <c r="H59" s="18" t="n"/>
      <c r="I59" s="18" t="n"/>
      <c r="J59" s="18" t="n"/>
      <c r="K59" s="18" t="n"/>
      <c r="L59" s="18" t="n"/>
      <c r="M59" s="18" t="n"/>
      <c r="N59" s="18" t="n"/>
      <c r="O59" s="18" t="n"/>
      <c r="P59" s="18" t="n"/>
      <c r="Q59" s="18" t="n"/>
      <c r="R59" s="18" t="n"/>
      <c r="S59" s="18" t="n"/>
      <c r="T59" s="18" t="n"/>
      <c r="U59" s="18" t="n"/>
      <c r="V59" s="18" t="n"/>
      <c r="W59" s="1" t="n"/>
      <c r="X59" s="1" t="n"/>
      <c r="Y59" s="1" t="n"/>
      <c r="Z59" s="1" t="n"/>
      <c r="AA59" s="1" t="n"/>
      <c r="AB59" s="1" t="n"/>
      <c r="AC59" s="1" t="n"/>
      <c r="AD59" s="1" t="n"/>
      <c r="AE59" s="1" t="n"/>
      <c r="AF59" s="1" t="n"/>
      <c r="AG59" s="1" t="n"/>
    </row>
    <row r="60" ht="22.5" customHeight="1">
      <c r="A60" s="18" t="n"/>
      <c r="B60" s="18" t="n"/>
      <c r="C60" s="18" t="n"/>
      <c r="D60" s="18" t="n"/>
      <c r="E60" s="18" t="n"/>
      <c r="F60" s="18" t="n"/>
      <c r="G60" s="18" t="n"/>
      <c r="H60" s="18" t="n"/>
      <c r="I60" s="18" t="n"/>
      <c r="J60" s="18" t="n"/>
      <c r="K60" s="18" t="n"/>
      <c r="L60" s="18" t="n"/>
      <c r="M60" s="18" t="n"/>
      <c r="N60" s="18" t="n"/>
      <c r="O60" s="18" t="n"/>
      <c r="P60" s="18" t="n"/>
      <c r="Q60" s="18" t="n"/>
      <c r="R60" s="18" t="n"/>
      <c r="S60" s="18" t="n"/>
      <c r="T60" s="18" t="n"/>
      <c r="U60" s="18" t="n"/>
      <c r="V60" s="18" t="n"/>
      <c r="W60" s="1" t="n"/>
      <c r="X60" s="1" t="n"/>
      <c r="Y60" s="1" t="n"/>
      <c r="Z60" s="1" t="n"/>
      <c r="AA60" s="1" t="n"/>
      <c r="AB60" s="1" t="n"/>
      <c r="AC60" s="1" t="n"/>
      <c r="AD60" s="1" t="n"/>
      <c r="AE60" s="1" t="n"/>
      <c r="AF60" s="1" t="n"/>
      <c r="AG60" s="1" t="n"/>
    </row>
    <row r="61" ht="22.5" customHeight="1">
      <c r="A61" s="18" t="n"/>
      <c r="B61" s="18" t="n"/>
      <c r="C61" s="18" t="n"/>
      <c r="D61" s="18" t="n"/>
      <c r="E61" s="18" t="n"/>
      <c r="F61" s="18" t="n"/>
      <c r="G61" s="18" t="n"/>
      <c r="H61" s="18" t="n"/>
      <c r="I61" s="18" t="n"/>
      <c r="J61" s="18" t="n"/>
      <c r="K61" s="18" t="n"/>
      <c r="L61" s="18" t="n"/>
      <c r="M61" s="18" t="n"/>
      <c r="N61" s="18" t="n"/>
      <c r="O61" s="18" t="n"/>
      <c r="P61" s="18" t="n"/>
      <c r="Q61" s="18" t="n"/>
      <c r="R61" s="18" t="n"/>
      <c r="S61" s="18" t="n"/>
      <c r="T61" s="18" t="n"/>
      <c r="U61" s="18" t="n"/>
      <c r="V61" s="18" t="n"/>
      <c r="W61" s="1" t="n"/>
      <c r="X61" s="1" t="n"/>
      <c r="Y61" s="1" t="n"/>
      <c r="Z61" s="1" t="n"/>
      <c r="AA61" s="1" t="n"/>
      <c r="AB61" s="1" t="n"/>
      <c r="AC61" s="1" t="n"/>
      <c r="AD61" s="1" t="n"/>
      <c r="AE61" s="1" t="n"/>
      <c r="AF61" s="1" t="n"/>
      <c r="AG61" s="1" t="n"/>
    </row>
    <row r="62" ht="22.5" customHeight="1">
      <c r="A62" s="18" t="n"/>
      <c r="B62" s="18" t="n"/>
      <c r="C62" s="18" t="n"/>
      <c r="D62" s="18" t="n"/>
      <c r="E62" s="18" t="n"/>
      <c r="F62" s="18" t="n"/>
      <c r="G62" s="18" t="n"/>
      <c r="H62" s="18" t="n"/>
      <c r="I62" s="18" t="n"/>
      <c r="J62" s="18" t="n"/>
      <c r="K62" s="18" t="n"/>
      <c r="L62" s="18" t="n"/>
      <c r="M62" s="18" t="n"/>
      <c r="N62" s="18" t="n"/>
      <c r="O62" s="18" t="n"/>
      <c r="P62" s="18" t="n"/>
      <c r="Q62" s="18" t="n"/>
      <c r="R62" s="18" t="n"/>
      <c r="S62" s="18" t="n"/>
      <c r="T62" s="18" t="n"/>
      <c r="U62" s="18" t="n"/>
      <c r="V62" s="18" t="n"/>
      <c r="W62" s="1" t="n"/>
      <c r="X62" s="1" t="n"/>
      <c r="Y62" s="1" t="n"/>
      <c r="Z62" s="1" t="n"/>
      <c r="AA62" s="1" t="n"/>
      <c r="AB62" s="1" t="n"/>
      <c r="AC62" s="1" t="n"/>
      <c r="AD62" s="1" t="n"/>
      <c r="AE62" s="1" t="n"/>
      <c r="AF62" s="1" t="n"/>
      <c r="AG62" s="1" t="n"/>
    </row>
    <row r="63" ht="22.5" customHeight="1">
      <c r="A63" s="18" t="n"/>
      <c r="B63" s="18" t="n"/>
      <c r="C63" s="18" t="n"/>
      <c r="D63" s="18" t="n"/>
      <c r="E63" s="18" t="n"/>
      <c r="F63" s="18" t="n"/>
      <c r="G63" s="18" t="n"/>
      <c r="H63" s="18" t="n"/>
      <c r="I63" s="18" t="n"/>
      <c r="J63" s="18" t="n"/>
      <c r="K63" s="18" t="n"/>
      <c r="L63" s="18" t="n"/>
      <c r="M63" s="18" t="n"/>
      <c r="N63" s="18" t="n"/>
      <c r="O63" s="18" t="n"/>
      <c r="P63" s="18" t="n"/>
      <c r="Q63" s="18" t="n"/>
      <c r="R63" s="18" t="n"/>
      <c r="S63" s="18" t="n"/>
      <c r="T63" s="18" t="n"/>
      <c r="U63" s="18" t="n"/>
      <c r="V63" s="18" t="n"/>
      <c r="W63" s="1" t="n"/>
      <c r="X63" s="1" t="n"/>
      <c r="Y63" s="1" t="n"/>
      <c r="Z63" s="1" t="n"/>
      <c r="AA63" s="1" t="n"/>
      <c r="AB63" s="1" t="n"/>
      <c r="AC63" s="1" t="n"/>
      <c r="AD63" s="1" t="n"/>
      <c r="AE63" s="1" t="n"/>
      <c r="AF63" s="1" t="n"/>
      <c r="AG63" s="1" t="n"/>
    </row>
    <row r="64" ht="22.5" customHeight="1">
      <c r="A64" s="18" t="n"/>
      <c r="B64" s="18" t="n"/>
      <c r="C64" s="18" t="n"/>
      <c r="D64" s="18" t="n"/>
      <c r="E64" s="18" t="n"/>
      <c r="F64" s="18" t="n"/>
      <c r="G64" s="18" t="n"/>
      <c r="H64" s="18" t="n"/>
      <c r="I64" s="18" t="n"/>
      <c r="J64" s="18" t="n"/>
      <c r="K64" s="18" t="n"/>
      <c r="L64" s="18" t="n"/>
      <c r="M64" s="18" t="n"/>
      <c r="N64" s="18" t="n"/>
      <c r="O64" s="18" t="n"/>
      <c r="P64" s="18" t="n"/>
      <c r="Q64" s="18" t="n"/>
      <c r="R64" s="18" t="n"/>
      <c r="S64" s="18" t="n"/>
      <c r="T64" s="18" t="n"/>
      <c r="U64" s="18" t="n"/>
      <c r="V64" s="18" t="n"/>
      <c r="W64" s="1" t="n"/>
      <c r="X64" s="1" t="n"/>
      <c r="Y64" s="1" t="n"/>
      <c r="Z64" s="1" t="n"/>
      <c r="AA64" s="1" t="n"/>
      <c r="AB64" s="1" t="n"/>
      <c r="AC64" s="1" t="n"/>
      <c r="AD64" s="1" t="n"/>
      <c r="AE64" s="1" t="n"/>
      <c r="AF64" s="1" t="n"/>
      <c r="AG64" s="1" t="n"/>
    </row>
    <row r="65" ht="22.5" customHeight="1">
      <c r="A65" s="18" t="n"/>
      <c r="B65" s="18" t="n"/>
      <c r="C65" s="18" t="n"/>
      <c r="D65" s="18" t="n"/>
      <c r="E65" s="18" t="n"/>
      <c r="F65" s="18" t="n"/>
      <c r="G65" s="18" t="n"/>
      <c r="H65" s="18" t="n"/>
      <c r="I65" s="18" t="n"/>
      <c r="J65" s="18" t="n"/>
      <c r="K65" s="18" t="n"/>
      <c r="L65" s="18" t="n"/>
      <c r="M65" s="18" t="n"/>
      <c r="N65" s="18" t="n"/>
      <c r="O65" s="18" t="n"/>
      <c r="P65" s="18" t="n"/>
      <c r="Q65" s="18" t="n"/>
      <c r="R65" s="18" t="n"/>
      <c r="S65" s="18" t="n"/>
      <c r="T65" s="18" t="n"/>
      <c r="U65" s="18" t="n"/>
      <c r="V65" s="18" t="n"/>
      <c r="W65" s="1" t="n"/>
      <c r="X65" s="1" t="n"/>
      <c r="Y65" s="1" t="n"/>
      <c r="Z65" s="1" t="n"/>
      <c r="AA65" s="1" t="n"/>
      <c r="AB65" s="1" t="n"/>
      <c r="AC65" s="1" t="n"/>
      <c r="AD65" s="1" t="n"/>
      <c r="AE65" s="1" t="n"/>
      <c r="AF65" s="1" t="n"/>
      <c r="AG65" s="1" t="n"/>
    </row>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autoFilter ref="A5:V100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45"/>
  <sheetViews>
    <sheetView showGridLines="0" workbookViewId="0">
      <pane ySplit="5" topLeftCell="A6" activePane="bottomLeft" state="frozen"/>
      <selection pane="bottomLeft" activeCell="A1" sqref="A1"/>
    </sheetView>
  </sheetViews>
  <sheetFormatPr baseColWidth="8" defaultRowHeight="15"/>
  <cols>
    <col width="14.02" customWidth="1" min="1" max="1"/>
    <col width="22.99" customWidth="1" min="2" max="2"/>
    <col width="16.04" customWidth="1" min="3" max="3"/>
    <col width="15.03" customWidth="1" min="4" max="4"/>
    <col width="19.96" customWidth="1" min="5" max="5"/>
    <col width="19.96" customWidth="1" min="6" max="6"/>
    <col width="40.04" customWidth="1" min="7" max="7"/>
    <col width="40.04" customWidth="1" min="8" max="8"/>
    <col width="40.04" customWidth="1" min="9" max="9"/>
    <col width="65.04000000000001" customWidth="1" min="10" max="10"/>
    <col width="8.59" customWidth="1" min="11" max="11"/>
    <col width="8.59" customWidth="1" min="12" max="12"/>
    <col width="8.59" customWidth="1" min="13" max="13"/>
    <col width="8.59" customWidth="1" min="14" max="14"/>
    <col width="8.59"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s>
  <sheetData>
    <row r="1" ht="21.75" customHeight="1">
      <c r="A1" s="18" t="n"/>
      <c r="B1" s="18" t="n"/>
      <c r="C1" s="18" t="n"/>
      <c r="D1" s="18" t="n"/>
      <c r="E1" s="18" t="n"/>
      <c r="F1" s="18" t="n"/>
      <c r="G1" s="18" t="n"/>
      <c r="H1" s="18" t="n"/>
      <c r="I1" s="18" t="n"/>
      <c r="J1" s="18" t="n"/>
    </row>
    <row r="2" ht="21.75" customHeight="1">
      <c r="A2" s="19" t="inlineStr">
        <is>
          <t>Medidas e fotos padronizadas</t>
        </is>
      </c>
      <c r="B2" s="18" t="n"/>
      <c r="C2" s="18" t="n"/>
      <c r="D2" s="18" t="n"/>
      <c r="E2" s="18" t="n"/>
      <c r="F2" s="18" t="n"/>
      <c r="G2" s="18" t="n"/>
      <c r="H2" s="18" t="n"/>
      <c r="I2" s="18" t="n"/>
      <c r="J2" s="18" t="n"/>
    </row>
    <row r="3" ht="21.75" customHeight="1">
      <c r="A3" s="20" t="inlineStr">
        <is>
          <t>Cintura semanal; outras medidas e fotos a cada 4 semanas, mesma luz, distância e postura.</t>
        </is>
      </c>
      <c r="B3" s="18" t="n"/>
      <c r="C3" s="18" t="n"/>
      <c r="D3" s="18" t="n"/>
      <c r="E3" s="18" t="n"/>
      <c r="F3" s="18" t="n"/>
      <c r="G3" s="18" t="n"/>
      <c r="H3" s="18" t="n"/>
      <c r="I3" s="18" t="n"/>
      <c r="J3" s="18" t="n"/>
    </row>
    <row r="4" ht="21.75" customHeight="1">
      <c r="A4" s="18" t="n"/>
      <c r="B4" s="18" t="n"/>
      <c r="C4" s="18" t="n"/>
      <c r="D4" s="18" t="n"/>
      <c r="E4" s="18" t="n"/>
      <c r="F4" s="18" t="n"/>
      <c r="G4" s="18" t="n"/>
      <c r="H4" s="18" t="n"/>
      <c r="I4" s="18" t="n"/>
      <c r="J4" s="18" t="n"/>
    </row>
    <row r="5" ht="37.5" customHeight="1">
      <c r="A5" s="21" t="inlineStr">
        <is>
          <t>Data</t>
        </is>
      </c>
      <c r="B5" s="21" t="inlineStr">
        <is>
          <t>Cintura umbigo cm</t>
        </is>
      </c>
      <c r="C5" s="21" t="inlineStr">
        <is>
          <t>Quadril cm</t>
        </is>
      </c>
      <c r="D5" s="21" t="inlineStr">
        <is>
          <t>Peito cm</t>
        </is>
      </c>
      <c r="E5" s="21" t="inlineStr">
        <is>
          <t>Braço direito cm</t>
        </is>
      </c>
      <c r="F5" s="21" t="inlineStr">
        <is>
          <t>Coxa direita cm</t>
        </is>
      </c>
      <c r="G5" s="21" t="inlineStr">
        <is>
          <t>Frente: link</t>
        </is>
      </c>
      <c r="H5" s="21" t="inlineStr">
        <is>
          <t>Lado: link</t>
        </is>
      </c>
      <c r="I5" s="21" t="inlineStr">
        <is>
          <t>Costas: link</t>
        </is>
      </c>
      <c r="J5" s="21" t="inlineStr">
        <is>
          <t>Condições / observações</t>
        </is>
      </c>
      <c r="K5" t="inlineStr">
        <is>
          <t>Objetivo</t>
        </is>
      </c>
    </row>
    <row r="6" ht="21.75" customHeight="1">
      <c r="A6" s="41" t="n"/>
      <c r="B6" s="30" t="n"/>
      <c r="C6" s="30" t="n"/>
      <c r="D6" s="30" t="n"/>
      <c r="E6" s="30" t="n"/>
      <c r="F6" s="30" t="n"/>
      <c r="G6" s="30" t="n"/>
      <c r="H6" s="30" t="n"/>
      <c r="I6" s="30" t="n"/>
      <c r="J6" s="30" t="n"/>
    </row>
    <row r="7" ht="21.75" customHeight="1">
      <c r="A7" s="41" t="n"/>
      <c r="B7" s="30" t="n"/>
      <c r="C7" s="30" t="n"/>
      <c r="D7" s="30" t="n"/>
      <c r="E7" s="30" t="n"/>
      <c r="F7" s="30" t="n"/>
      <c r="G7" s="30" t="n"/>
      <c r="H7" s="30" t="n"/>
      <c r="I7" s="30" t="n"/>
      <c r="J7" s="30" t="n"/>
    </row>
    <row r="8" ht="21.75" customHeight="1">
      <c r="A8" s="41" t="n"/>
      <c r="B8" s="30" t="n"/>
      <c r="C8" s="30" t="n"/>
      <c r="D8" s="30" t="n"/>
      <c r="E8" s="30" t="n"/>
      <c r="F8" s="30" t="n"/>
      <c r="G8" s="30" t="n"/>
      <c r="H8" s="30" t="n"/>
      <c r="I8" s="30" t="n"/>
      <c r="J8" s="30" t="n"/>
    </row>
    <row r="9" ht="21.75" customHeight="1">
      <c r="A9" s="41" t="n"/>
      <c r="B9" s="30" t="n"/>
      <c r="C9" s="30" t="n"/>
      <c r="D9" s="30" t="n"/>
      <c r="E9" s="30" t="n"/>
      <c r="F9" s="30" t="n"/>
      <c r="G9" s="30" t="n"/>
      <c r="H9" s="30" t="n"/>
      <c r="I9" s="30" t="n"/>
      <c r="J9" s="30" t="n"/>
    </row>
    <row r="10" ht="21.75" customHeight="1">
      <c r="A10" s="41" t="n"/>
      <c r="B10" s="30" t="n"/>
      <c r="C10" s="30" t="n"/>
      <c r="D10" s="30" t="n"/>
      <c r="E10" s="30" t="n"/>
      <c r="F10" s="30" t="n"/>
      <c r="G10" s="30" t="n"/>
      <c r="H10" s="30" t="n"/>
      <c r="I10" s="30" t="n"/>
      <c r="J10" s="30" t="n"/>
    </row>
    <row r="11" ht="21.75" customHeight="1">
      <c r="A11" s="41" t="n"/>
      <c r="B11" s="30" t="n"/>
      <c r="C11" s="30" t="n"/>
      <c r="D11" s="30" t="n"/>
      <c r="E11" s="30" t="n"/>
      <c r="F11" s="30" t="n"/>
      <c r="G11" s="30" t="n"/>
      <c r="H11" s="30" t="n"/>
      <c r="I11" s="30" t="n"/>
      <c r="J11" s="30" t="n"/>
    </row>
    <row r="12" ht="21.75" customHeight="1">
      <c r="A12" s="41" t="n"/>
      <c r="B12" s="30" t="n"/>
      <c r="C12" s="30" t="n"/>
      <c r="D12" s="30" t="n"/>
      <c r="E12" s="30" t="n"/>
      <c r="F12" s="30" t="n"/>
      <c r="G12" s="30" t="n"/>
      <c r="H12" s="30" t="n"/>
      <c r="I12" s="30" t="n"/>
      <c r="J12" s="30" t="n"/>
    </row>
    <row r="13" ht="21.75" customHeight="1">
      <c r="A13" s="41" t="n"/>
      <c r="B13" s="30" t="n"/>
      <c r="C13" s="30" t="n"/>
      <c r="D13" s="30" t="n"/>
      <c r="E13" s="30" t="n"/>
      <c r="F13" s="30" t="n"/>
      <c r="G13" s="30" t="n"/>
      <c r="H13" s="30" t="n"/>
      <c r="I13" s="30" t="n"/>
      <c r="J13" s="30" t="n"/>
    </row>
    <row r="14" ht="21.75" customHeight="1">
      <c r="A14" s="41" t="n"/>
      <c r="B14" s="30" t="n"/>
      <c r="C14" s="30" t="n"/>
      <c r="D14" s="30" t="n"/>
      <c r="E14" s="30" t="n"/>
      <c r="F14" s="30" t="n"/>
      <c r="G14" s="30" t="n"/>
      <c r="H14" s="30" t="n"/>
      <c r="I14" s="30" t="n"/>
      <c r="J14" s="30" t="n"/>
    </row>
    <row r="15" ht="21.75" customHeight="1">
      <c r="A15" s="41" t="n"/>
      <c r="B15" s="30" t="n"/>
      <c r="C15" s="30" t="n"/>
      <c r="D15" s="30" t="n"/>
      <c r="E15" s="30" t="n"/>
      <c r="F15" s="30" t="n"/>
      <c r="G15" s="30" t="n"/>
      <c r="H15" s="30" t="n"/>
      <c r="I15" s="30" t="n"/>
      <c r="J15" s="30" t="n"/>
    </row>
    <row r="16" ht="21.75" customHeight="1">
      <c r="A16" s="41" t="n"/>
      <c r="B16" s="30" t="n"/>
      <c r="C16" s="30" t="n"/>
      <c r="D16" s="30" t="n"/>
      <c r="E16" s="30" t="n"/>
      <c r="F16" s="30" t="n"/>
      <c r="G16" s="30" t="n"/>
      <c r="H16" s="30" t="n"/>
      <c r="I16" s="30" t="n"/>
      <c r="J16" s="30" t="n"/>
    </row>
    <row r="17" ht="21.75" customHeight="1">
      <c r="A17" s="41" t="n"/>
      <c r="B17" s="30" t="n"/>
      <c r="C17" s="30" t="n"/>
      <c r="D17" s="30" t="n"/>
      <c r="E17" s="30" t="n"/>
      <c r="F17" s="30" t="n"/>
      <c r="G17" s="30" t="n"/>
      <c r="H17" s="30" t="n"/>
      <c r="I17" s="30" t="n"/>
      <c r="J17" s="30" t="n"/>
    </row>
    <row r="18" ht="21.75" customHeight="1">
      <c r="A18" s="41" t="n"/>
      <c r="B18" s="30" t="n"/>
      <c r="C18" s="30" t="n"/>
      <c r="D18" s="30" t="n"/>
      <c r="E18" s="30" t="n"/>
      <c r="F18" s="30" t="n"/>
      <c r="G18" s="30" t="n"/>
      <c r="H18" s="30" t="n"/>
      <c r="I18" s="30" t="n"/>
      <c r="J18" s="30" t="n"/>
    </row>
    <row r="19" ht="21.75" customHeight="1">
      <c r="A19" s="41" t="n"/>
      <c r="B19" s="30" t="n"/>
      <c r="C19" s="30" t="n"/>
      <c r="D19" s="30" t="n"/>
      <c r="E19" s="30" t="n"/>
      <c r="F19" s="30" t="n"/>
      <c r="G19" s="30" t="n"/>
      <c r="H19" s="30" t="n"/>
      <c r="I19" s="30" t="n"/>
      <c r="J19" s="30" t="n"/>
    </row>
    <row r="20" ht="21.75" customHeight="1">
      <c r="A20" s="41" t="n"/>
      <c r="B20" s="30" t="n"/>
      <c r="C20" s="30" t="n"/>
      <c r="D20" s="30" t="n"/>
      <c r="E20" s="30" t="n"/>
      <c r="F20" s="30" t="n"/>
      <c r="G20" s="30" t="n"/>
      <c r="H20" s="30" t="n"/>
      <c r="I20" s="30" t="n"/>
      <c r="J20" s="30" t="n"/>
    </row>
    <row r="21" ht="21.75" customHeight="1">
      <c r="A21" s="41" t="n"/>
      <c r="B21" s="30" t="n"/>
      <c r="C21" s="30" t="n"/>
      <c r="D21" s="30" t="n"/>
      <c r="E21" s="30" t="n"/>
      <c r="F21" s="30" t="n"/>
      <c r="G21" s="30" t="n"/>
      <c r="H21" s="30" t="n"/>
      <c r="I21" s="30" t="n"/>
      <c r="J21" s="30" t="n"/>
    </row>
    <row r="22" ht="21.75" customHeight="1">
      <c r="A22" s="41" t="n"/>
      <c r="B22" s="30" t="n"/>
      <c r="C22" s="30" t="n"/>
      <c r="D22" s="30" t="n"/>
      <c r="E22" s="30" t="n"/>
      <c r="F22" s="30" t="n"/>
      <c r="G22" s="30" t="n"/>
      <c r="H22" s="30" t="n"/>
      <c r="I22" s="30" t="n"/>
      <c r="J22" s="30" t="n"/>
    </row>
    <row r="23" ht="21.75" customHeight="1">
      <c r="A23" s="41" t="n"/>
      <c r="B23" s="30" t="n"/>
      <c r="C23" s="30" t="n"/>
      <c r="D23" s="30" t="n"/>
      <c r="E23" s="30" t="n"/>
      <c r="F23" s="30" t="n"/>
      <c r="G23" s="30" t="n"/>
      <c r="H23" s="30" t="n"/>
      <c r="I23" s="30" t="n"/>
      <c r="J23" s="30" t="n"/>
    </row>
    <row r="24" ht="21.75" customHeight="1">
      <c r="A24" s="41" t="n"/>
      <c r="B24" s="30" t="n"/>
      <c r="C24" s="30" t="n"/>
      <c r="D24" s="30" t="n"/>
      <c r="E24" s="30" t="n"/>
      <c r="F24" s="30" t="n"/>
      <c r="G24" s="30" t="n"/>
      <c r="H24" s="30" t="n"/>
      <c r="I24" s="30" t="n"/>
      <c r="J24" s="30" t="n"/>
    </row>
    <row r="25" ht="21.75" customHeight="1">
      <c r="A25" s="41" t="n"/>
      <c r="B25" s="30" t="n"/>
      <c r="C25" s="30" t="n"/>
      <c r="D25" s="30" t="n"/>
      <c r="E25" s="30" t="n"/>
      <c r="F25" s="30" t="n"/>
      <c r="G25" s="30" t="n"/>
      <c r="H25" s="30" t="n"/>
      <c r="I25" s="30" t="n"/>
      <c r="J25" s="30" t="n"/>
    </row>
    <row r="26" ht="21.75" customHeight="1">
      <c r="A26" s="41" t="n"/>
      <c r="B26" s="30" t="n"/>
      <c r="C26" s="30" t="n"/>
      <c r="D26" s="30" t="n"/>
      <c r="E26" s="30" t="n"/>
      <c r="F26" s="30" t="n"/>
      <c r="G26" s="30" t="n"/>
      <c r="H26" s="30" t="n"/>
      <c r="I26" s="30" t="n"/>
      <c r="J26" s="30" t="n"/>
    </row>
    <row r="27" ht="21.75" customHeight="1">
      <c r="A27" s="41" t="n"/>
      <c r="B27" s="30" t="n"/>
      <c r="C27" s="30" t="n"/>
      <c r="D27" s="30" t="n"/>
      <c r="E27" s="30" t="n"/>
      <c r="F27" s="30" t="n"/>
      <c r="G27" s="30" t="n"/>
      <c r="H27" s="30" t="n"/>
      <c r="I27" s="30" t="n"/>
      <c r="J27" s="30" t="n"/>
    </row>
    <row r="28" ht="21.75" customHeight="1">
      <c r="A28" s="41" t="n"/>
      <c r="B28" s="30" t="n"/>
      <c r="C28" s="30" t="n"/>
      <c r="D28" s="30" t="n"/>
      <c r="E28" s="30" t="n"/>
      <c r="F28" s="30" t="n"/>
      <c r="G28" s="30" t="n"/>
      <c r="H28" s="30" t="n"/>
      <c r="I28" s="30" t="n"/>
      <c r="J28" s="30" t="n"/>
    </row>
    <row r="29" ht="21.75" customHeight="1">
      <c r="A29" s="41" t="n"/>
      <c r="B29" s="30" t="n"/>
      <c r="C29" s="30" t="n"/>
      <c r="D29" s="30" t="n"/>
      <c r="E29" s="30" t="n"/>
      <c r="F29" s="30" t="n"/>
      <c r="G29" s="30" t="n"/>
      <c r="H29" s="30" t="n"/>
      <c r="I29" s="30" t="n"/>
      <c r="J29" s="30" t="n"/>
    </row>
    <row r="30" ht="21.75" customHeight="1">
      <c r="A30" s="41" t="n"/>
      <c r="B30" s="30" t="n"/>
      <c r="C30" s="30" t="n"/>
      <c r="D30" s="30" t="n"/>
      <c r="E30" s="30" t="n"/>
      <c r="F30" s="30" t="n"/>
      <c r="G30" s="30" t="n"/>
      <c r="H30" s="30" t="n"/>
      <c r="I30" s="30" t="n"/>
      <c r="J30" s="30" t="n"/>
    </row>
    <row r="31" ht="21.75" customHeight="1">
      <c r="A31" s="41" t="n"/>
      <c r="B31" s="30" t="n"/>
      <c r="C31" s="30" t="n"/>
      <c r="D31" s="30" t="n"/>
      <c r="E31" s="30" t="n"/>
      <c r="F31" s="30" t="n"/>
      <c r="G31" s="30" t="n"/>
      <c r="H31" s="30" t="n"/>
      <c r="I31" s="30" t="n"/>
      <c r="J31" s="30" t="n"/>
    </row>
    <row r="32" ht="21.75" customHeight="1">
      <c r="A32" s="41" t="n"/>
      <c r="B32" s="30" t="n"/>
      <c r="C32" s="30" t="n"/>
      <c r="D32" s="30" t="n"/>
      <c r="E32" s="30" t="n"/>
      <c r="F32" s="30" t="n"/>
      <c r="G32" s="30" t="n"/>
      <c r="H32" s="30" t="n"/>
      <c r="I32" s="30" t="n"/>
      <c r="J32" s="30" t="n"/>
    </row>
    <row r="33" ht="21.75" customHeight="1">
      <c r="A33" s="41" t="n"/>
      <c r="B33" s="30" t="n"/>
      <c r="C33" s="30" t="n"/>
      <c r="D33" s="30" t="n"/>
      <c r="E33" s="30" t="n"/>
      <c r="F33" s="30" t="n"/>
      <c r="G33" s="30" t="n"/>
      <c r="H33" s="30" t="n"/>
      <c r="I33" s="30" t="n"/>
      <c r="J33" s="30" t="n"/>
    </row>
    <row r="34" ht="21.75" customHeight="1">
      <c r="A34" s="41" t="n"/>
      <c r="B34" s="30" t="n"/>
      <c r="C34" s="30" t="n"/>
      <c r="D34" s="30" t="n"/>
      <c r="E34" s="30" t="n"/>
      <c r="F34" s="30" t="n"/>
      <c r="G34" s="30" t="n"/>
      <c r="H34" s="30" t="n"/>
      <c r="I34" s="30" t="n"/>
      <c r="J34" s="30" t="n"/>
    </row>
    <row r="35" ht="21.75" customHeight="1">
      <c r="A35" s="41" t="n"/>
      <c r="B35" s="30" t="n"/>
      <c r="C35" s="30" t="n"/>
      <c r="D35" s="30" t="n"/>
      <c r="E35" s="30" t="n"/>
      <c r="F35" s="30" t="n"/>
      <c r="G35" s="30" t="n"/>
      <c r="H35" s="30" t="n"/>
      <c r="I35" s="30" t="n"/>
      <c r="J35" s="30" t="n"/>
    </row>
    <row r="36" ht="21.75" customHeight="1">
      <c r="A36" s="41" t="n"/>
      <c r="B36" s="30" t="n"/>
      <c r="C36" s="30" t="n"/>
      <c r="D36" s="30" t="n"/>
      <c r="E36" s="30" t="n"/>
      <c r="F36" s="30" t="n"/>
      <c r="G36" s="30" t="n"/>
      <c r="H36" s="30" t="n"/>
      <c r="I36" s="30" t="n"/>
      <c r="J36" s="30" t="n"/>
    </row>
    <row r="37" ht="21.75" customHeight="1">
      <c r="A37" s="41" t="n"/>
      <c r="B37" s="30" t="n"/>
      <c r="C37" s="30" t="n"/>
      <c r="D37" s="30" t="n"/>
      <c r="E37" s="30" t="n"/>
      <c r="F37" s="30" t="n"/>
      <c r="G37" s="30" t="n"/>
      <c r="H37" s="30" t="n"/>
      <c r="I37" s="30" t="n"/>
      <c r="J37" s="30" t="n"/>
    </row>
    <row r="38" ht="21.75" customHeight="1">
      <c r="A38" s="41" t="n"/>
      <c r="B38" s="30" t="n"/>
      <c r="C38" s="30" t="n"/>
      <c r="D38" s="30" t="n"/>
      <c r="E38" s="30" t="n"/>
      <c r="F38" s="30" t="n"/>
      <c r="G38" s="30" t="n"/>
      <c r="H38" s="30" t="n"/>
      <c r="I38" s="30" t="n"/>
      <c r="J38" s="30" t="n"/>
    </row>
    <row r="39" ht="21.75" customHeight="1">
      <c r="A39" s="41" t="n"/>
      <c r="B39" s="30" t="n"/>
      <c r="C39" s="30" t="n"/>
      <c r="D39" s="30" t="n"/>
      <c r="E39" s="30" t="n"/>
      <c r="F39" s="30" t="n"/>
      <c r="G39" s="30" t="n"/>
      <c r="H39" s="30" t="n"/>
      <c r="I39" s="30" t="n"/>
      <c r="J39" s="30" t="n"/>
    </row>
    <row r="40" ht="21.75" customHeight="1">
      <c r="A40" s="41" t="n"/>
      <c r="B40" s="30" t="n"/>
      <c r="C40" s="30" t="n"/>
      <c r="D40" s="30" t="n"/>
      <c r="E40" s="30" t="n"/>
      <c r="F40" s="30" t="n"/>
      <c r="G40" s="30" t="n"/>
      <c r="H40" s="30" t="n"/>
      <c r="I40" s="30" t="n"/>
      <c r="J40" s="30" t="n"/>
    </row>
    <row r="41" ht="21.75" customHeight="1">
      <c r="A41" s="41" t="n"/>
      <c r="B41" s="30" t="n"/>
      <c r="C41" s="30" t="n"/>
      <c r="D41" s="30" t="n"/>
      <c r="E41" s="30" t="n"/>
      <c r="F41" s="30" t="n"/>
      <c r="G41" s="30" t="n"/>
      <c r="H41" s="30" t="n"/>
      <c r="I41" s="30" t="n"/>
      <c r="J41" s="30" t="n"/>
    </row>
    <row r="42" ht="21.75" customHeight="1">
      <c r="A42" s="41" t="n"/>
      <c r="B42" s="30" t="n"/>
      <c r="C42" s="30" t="n"/>
      <c r="D42" s="30" t="n"/>
      <c r="E42" s="30" t="n"/>
      <c r="F42" s="30" t="n"/>
      <c r="G42" s="30" t="n"/>
      <c r="H42" s="30" t="n"/>
      <c r="I42" s="30" t="n"/>
      <c r="J42" s="30" t="n"/>
    </row>
    <row r="43" ht="21.75" customHeight="1">
      <c r="A43" s="41" t="n"/>
      <c r="B43" s="30" t="n"/>
      <c r="C43" s="30" t="n"/>
      <c r="D43" s="30" t="n"/>
      <c r="E43" s="30" t="n"/>
      <c r="F43" s="30" t="n"/>
      <c r="G43" s="30" t="n"/>
      <c r="H43" s="30" t="n"/>
      <c r="I43" s="30" t="n"/>
      <c r="J43" s="30" t="n"/>
    </row>
    <row r="44" ht="21.75" customHeight="1">
      <c r="A44" s="41" t="n"/>
      <c r="B44" s="30" t="n"/>
      <c r="C44" s="30" t="n"/>
      <c r="D44" s="30" t="n"/>
      <c r="E44" s="30" t="n"/>
      <c r="F44" s="30" t="n"/>
      <c r="G44" s="30" t="n"/>
      <c r="H44" s="30" t="n"/>
      <c r="I44" s="30" t="n"/>
      <c r="J44" s="30" t="n"/>
    </row>
    <row r="45" ht="21.75" customHeight="1">
      <c r="A45" s="41" t="n"/>
      <c r="B45" s="30" t="n"/>
      <c r="C45" s="30" t="n"/>
      <c r="D45" s="30" t="n"/>
      <c r="E45" s="30" t="n"/>
      <c r="F45" s="30" t="n"/>
      <c r="G45" s="30" t="n"/>
      <c r="H45" s="30" t="n"/>
      <c r="I45" s="30" t="n"/>
      <c r="J45" s="30" t="n"/>
    </row>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autoFilter ref="A5:J45"/>
  <dataValidations count="1">
    <dataValidation sqref="B6:F45" showDropDown="0" showInputMessage="0" showErrorMessage="0" allowBlank="1" type="decimal" operator="between">
      <formula1>10</formula1>
      <formula2>250</formula2>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55"/>
  <sheetViews>
    <sheetView showGridLines="0" workbookViewId="0">
      <pane ySplit="5" topLeftCell="A6" activePane="bottomLeft" state="frozen"/>
      <selection pane="bottomLeft" activeCell="A1" sqref="A1"/>
    </sheetView>
  </sheetViews>
  <sheetFormatPr baseColWidth="8" defaultRowHeight="15"/>
  <cols>
    <col width="14.02" customWidth="1" min="1" max="1"/>
    <col width="19.96" customWidth="1" min="2" max="2"/>
    <col width="65.04000000000001" customWidth="1" min="3" max="3"/>
    <col width="75.02" customWidth="1" min="4" max="4"/>
    <col width="19.96" customWidth="1" min="5" max="5"/>
    <col width="22.99" customWidth="1" min="6" max="6"/>
    <col width="18.06" customWidth="1" min="7" max="7"/>
    <col width="65.04000000000001" customWidth="1" min="8" max="8"/>
    <col width="8.59" customWidth="1" min="9" max="9"/>
    <col width="8.59" customWidth="1" min="10" max="10"/>
    <col width="8.59" customWidth="1" min="11" max="11"/>
    <col width="8.59" customWidth="1" min="12" max="12"/>
    <col width="8.59" customWidth="1" min="13" max="13"/>
    <col width="8.59" customWidth="1" min="14" max="14"/>
    <col width="8.59"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s>
  <sheetData>
    <row r="1" ht="21.75" customHeight="1">
      <c r="A1" s="18" t="n"/>
      <c r="B1" s="18" t="n"/>
      <c r="C1" s="18" t="n"/>
      <c r="D1" s="18" t="n"/>
      <c r="E1" s="18" t="n"/>
      <c r="F1" s="18" t="n"/>
      <c r="G1" s="18" t="n"/>
      <c r="H1" s="18" t="n"/>
    </row>
    <row r="2" ht="21.75" customHeight="1">
      <c r="A2" s="19" t="inlineStr">
        <is>
          <t>Decisões e adaptação</t>
        </is>
      </c>
      <c r="B2" s="18" t="n"/>
      <c r="C2" s="18" t="n"/>
      <c r="D2" s="18" t="n"/>
      <c r="E2" s="18" t="n"/>
      <c r="F2" s="18" t="n"/>
      <c r="G2" s="18" t="n"/>
      <c r="H2" s="18" t="n"/>
    </row>
    <row r="3" ht="21.75" customHeight="1">
      <c r="A3" s="20" t="inlineStr">
        <is>
          <t>Toda mudança de objetivo, meta ou ficha fica registrada aqui. A planilha não muda metas sozinha.</t>
        </is>
      </c>
      <c r="B3" s="18" t="n"/>
      <c r="C3" s="18" t="n"/>
      <c r="D3" s="18" t="n"/>
      <c r="E3" s="18" t="n"/>
      <c r="F3" s="18" t="n"/>
      <c r="G3" s="18" t="n"/>
      <c r="H3" s="18" t="n"/>
    </row>
    <row r="4" ht="21.75" customHeight="1">
      <c r="A4" s="18" t="n"/>
      <c r="B4" s="18" t="n"/>
      <c r="C4" s="18" t="n"/>
      <c r="D4" s="18" t="n"/>
      <c r="E4" s="18" t="n"/>
      <c r="F4" s="18" t="n"/>
      <c r="G4" s="18" t="n"/>
      <c r="H4" s="18" t="n"/>
    </row>
    <row r="5" ht="37.5" customHeight="1">
      <c r="A5" s="21" t="inlineStr">
        <is>
          <t>Data</t>
        </is>
      </c>
      <c r="B5" s="21" t="inlineStr">
        <is>
          <t>Área</t>
        </is>
      </c>
      <c r="C5" s="21" t="inlineStr">
        <is>
          <t>Observação / motivo</t>
        </is>
      </c>
      <c r="D5" s="21" t="inlineStr">
        <is>
          <t>Alteração</t>
        </is>
      </c>
      <c r="E5" s="21" t="inlineStr">
        <is>
          <t>Revisor</t>
        </is>
      </c>
      <c r="F5" s="21" t="inlineStr">
        <is>
          <t>Status</t>
        </is>
      </c>
      <c r="G5" s="21" t="inlineStr">
        <is>
          <t>Próxima revisão</t>
        </is>
      </c>
      <c r="H5" s="21" t="inlineStr">
        <is>
          <t>Resultado</t>
        </is>
      </c>
      <c r="I5" t="inlineStr">
        <is>
          <t>Objetivo</t>
        </is>
      </c>
      <c r="J5" t="inlineStr">
        <is>
          <t>Meta</t>
        </is>
      </c>
      <c r="K5" t="inlineStr">
        <is>
          <t>Ficha</t>
        </is>
      </c>
      <c r="L5" t="inlineStr">
        <is>
          <t>Recomendação</t>
        </is>
      </c>
    </row>
    <row r="6" ht="21.75" customHeight="1">
      <c r="A6" s="41" t="n">
        <v>46280</v>
      </c>
      <c r="B6" s="30" t="inlineStr">
        <is>
          <t>Ficha inicial</t>
        </is>
      </c>
      <c r="C6" s="30" t="inlineStr">
        <is>
          <t>Ficha do chat: Upper 20, Lower 16 e Full Body 19 séries após adaptação. Revisar tolerância junto ao Muay Thai.</t>
        </is>
      </c>
      <c r="D6" s="30" t="inlineStr">
        <is>
          <t>Adaptação separada em coluna própria. Não avançar automaticamente para o volume posterior.</t>
        </is>
      </c>
      <c r="E6" s="30" t="inlineStr">
        <is>
          <t>Luan</t>
        </is>
      </c>
      <c r="F6" s="30" t="inlineStr">
        <is>
          <t>A revisar</t>
        </is>
      </c>
      <c r="G6" s="41" t="n"/>
      <c r="H6" s="30" t="n"/>
      <c r="K6" t="inlineStr">
        <is>
          <t>F001</t>
        </is>
      </c>
    </row>
    <row r="7" ht="21.75" customHeight="1">
      <c r="A7" s="41" t="n">
        <v>46280</v>
      </c>
      <c r="B7" s="30" t="inlineStr">
        <is>
          <t>Dieta inicial</t>
        </is>
      </c>
      <c r="C7" s="30" t="inlineStr">
        <is>
          <t>Soma das porções originais com whey e leite podia exceder a faixa proteica.</t>
        </is>
      </c>
      <c r="D7" s="30" t="inlineStr">
        <is>
          <t>Proposta atual: frango 100 g nas refeições, whey 10 g no lanche e arroz 200 g; conferir consumo real.</t>
        </is>
      </c>
      <c r="E7" s="30" t="inlineStr">
        <is>
          <t>Luan</t>
        </is>
      </c>
      <c r="F7" s="30" t="inlineStr">
        <is>
          <t>A revisar</t>
        </is>
      </c>
      <c r="G7" s="41" t="n"/>
      <c r="H7" s="30" t="n"/>
      <c r="K7" t="inlineStr">
        <is>
          <t>F001</t>
        </is>
      </c>
    </row>
    <row r="8" ht="21.75" customHeight="1">
      <c r="A8" s="41" t="n">
        <v>46293</v>
      </c>
      <c r="B8" s="30" t="inlineStr">
        <is>
          <t>Sistema 3.0</t>
        </is>
      </c>
      <c r="C8" s="30" t="inlineStr">
        <is>
          <t>Ambiguidade de séries, unidades e completude</t>
        </is>
      </c>
      <c r="D8" s="30" t="inlineStr">
        <is>
          <t>Work sets separadas; ficha F002; unidade explícita; correção/desfazer; favoritas pessoais</t>
        </is>
      </c>
      <c r="E8" s="30" t="inlineStr">
        <is>
          <t>Luan / atualização autorizada</t>
        </is>
      </c>
      <c r="F8" s="30" t="inlineStr">
        <is>
          <t>Aplicado</t>
        </is>
      </c>
      <c r="G8" s="41" t="n"/>
      <c r="H8" s="30" t="n"/>
      <c r="I8" t="inlineStr">
        <is>
          <t>O001</t>
        </is>
      </c>
      <c r="J8" t="inlineStr">
        <is>
          <t>M001</t>
        </is>
      </c>
      <c r="K8" t="inlineStr">
        <is>
          <t>F002</t>
        </is>
      </c>
    </row>
    <row r="9" ht="21.75" customHeight="1">
      <c r="A9" s="41" t="n">
        <v>46293</v>
      </c>
      <c r="B9" s="30" t="inlineStr">
        <is>
          <t>Alimentação</t>
        </is>
      </c>
      <c r="C9" s="30" t="inlineStr">
        <is>
          <t>Favoritas pré-configuradas não eram individuais</t>
        </is>
      </c>
      <c r="D9" s="30" t="inlineStr">
        <is>
          <t>Favoritas e ingredientes iniciam vazios; históricos alimentares preservados vazios</t>
        </is>
      </c>
      <c r="E9" s="30" t="inlineStr">
        <is>
          <t>Luan</t>
        </is>
      </c>
      <c r="F9" s="30" t="inlineStr">
        <is>
          <t>Aplicado</t>
        </is>
      </c>
      <c r="G9" s="41" t="n"/>
      <c r="H9" s="30" t="n"/>
      <c r="I9" t="inlineStr">
        <is>
          <t>O001</t>
        </is>
      </c>
      <c r="J9" t="inlineStr">
        <is>
          <t>M001</t>
        </is>
      </c>
      <c r="K9" t="inlineStr">
        <is>
          <t>F002</t>
        </is>
      </c>
    </row>
    <row r="10" ht="21.75" customHeight="1">
      <c r="A10" s="41" t="n">
        <v>46293</v>
      </c>
      <c r="B10" s="30" t="inlineStr">
        <is>
          <t>Automação 3.0</t>
        </is>
      </c>
      <c r="C10" s="30" t="inlineStr">
        <is>
          <t>Parcial e retomada; conclusão explícita; sequência contínua; unidades obrigatórias; correção e desfazer; alimentos sem cálculo; Ação rápida no celular.</t>
        </is>
      </c>
      <c r="D10" s="30" t="inlineStr">
        <is>
          <t>Testes de fluxo aprovados nos dois projetos; registros temporários removidos.</t>
        </is>
      </c>
      <c r="E10" s="30" t="n"/>
      <c r="F10" s="30" t="n"/>
      <c r="G10" s="41" t="n"/>
      <c r="H10" s="30" t="n"/>
      <c r="I10" t="inlineStr">
        <is>
          <t>O001</t>
        </is>
      </c>
      <c r="J10" t="inlineStr">
        <is>
          <t>M001</t>
        </is>
      </c>
      <c r="K10" t="inlineStr">
        <is>
          <t>F002</t>
        </is>
      </c>
    </row>
    <row r="11" ht="21.75" customHeight="1">
      <c r="A11" s="41" t="n"/>
      <c r="B11" s="30" t="n"/>
      <c r="C11" s="30" t="n"/>
      <c r="D11" s="30" t="n"/>
      <c r="E11" s="30" t="n"/>
      <c r="F11" s="30" t="n"/>
      <c r="G11" s="41" t="n"/>
      <c r="H11" s="30" t="n"/>
    </row>
    <row r="12" ht="21.75" customHeight="1">
      <c r="A12" s="41" t="n"/>
      <c r="B12" s="30" t="n"/>
      <c r="C12" s="30" t="n"/>
      <c r="D12" s="30" t="n"/>
      <c r="E12" s="30" t="n"/>
      <c r="F12" s="30" t="n"/>
      <c r="G12" s="41" t="n"/>
      <c r="H12" s="30" t="n"/>
    </row>
    <row r="13" ht="21.75" customHeight="1">
      <c r="A13" s="41" t="n"/>
      <c r="B13" s="30" t="n"/>
      <c r="C13" s="30" t="n"/>
      <c r="D13" s="30" t="n"/>
      <c r="E13" s="30" t="n"/>
      <c r="F13" s="30" t="n"/>
      <c r="G13" s="41" t="n"/>
      <c r="H13" s="30" t="n"/>
    </row>
    <row r="14" ht="21.75" customHeight="1">
      <c r="A14" s="41" t="n"/>
      <c r="B14" s="30" t="n"/>
      <c r="C14" s="30" t="n"/>
      <c r="D14" s="30" t="n"/>
      <c r="E14" s="30" t="n"/>
      <c r="F14" s="30" t="n"/>
      <c r="G14" s="41" t="n"/>
      <c r="H14" s="30" t="n"/>
    </row>
    <row r="15" ht="21.75" customHeight="1">
      <c r="A15" s="41" t="n"/>
      <c r="B15" s="30" t="n"/>
      <c r="C15" s="30" t="n"/>
      <c r="D15" s="30" t="n"/>
      <c r="E15" s="30" t="n"/>
      <c r="F15" s="30" t="n"/>
      <c r="G15" s="41" t="n"/>
      <c r="H15" s="30" t="n"/>
    </row>
    <row r="16" ht="21.75" customHeight="1">
      <c r="A16" s="41" t="n"/>
      <c r="B16" s="30" t="n"/>
      <c r="C16" s="30" t="n"/>
      <c r="D16" s="30" t="n"/>
      <c r="E16" s="30" t="n"/>
      <c r="F16" s="30" t="n"/>
      <c r="G16" s="41" t="n"/>
      <c r="H16" s="30" t="n"/>
    </row>
    <row r="17" ht="21.75" customHeight="1">
      <c r="A17" s="41" t="n"/>
      <c r="B17" s="30" t="n"/>
      <c r="C17" s="30" t="n"/>
      <c r="D17" s="30" t="n"/>
      <c r="E17" s="30" t="n"/>
      <c r="F17" s="30" t="n"/>
      <c r="G17" s="41" t="n"/>
      <c r="H17" s="30" t="n"/>
    </row>
    <row r="18" ht="21.75" customHeight="1">
      <c r="A18" s="41" t="n"/>
      <c r="B18" s="30" t="n"/>
      <c r="C18" s="30" t="n"/>
      <c r="D18" s="30" t="n"/>
      <c r="E18" s="30" t="n"/>
      <c r="F18" s="30" t="n"/>
      <c r="G18" s="41" t="n"/>
      <c r="H18" s="30" t="n"/>
    </row>
    <row r="19" ht="21.75" customHeight="1">
      <c r="A19" s="41" t="n"/>
      <c r="B19" s="30" t="n"/>
      <c r="C19" s="30" t="n"/>
      <c r="D19" s="30" t="n"/>
      <c r="E19" s="30" t="n"/>
      <c r="F19" s="30" t="n"/>
      <c r="G19" s="41" t="n"/>
      <c r="H19" s="30" t="n"/>
    </row>
    <row r="20" ht="21.75" customHeight="1">
      <c r="A20" s="41" t="n"/>
      <c r="B20" s="30" t="n"/>
      <c r="C20" s="30" t="n"/>
      <c r="D20" s="30" t="n"/>
      <c r="E20" s="30" t="n"/>
      <c r="F20" s="30" t="n"/>
      <c r="G20" s="41" t="n"/>
      <c r="H20" s="30" t="n"/>
    </row>
    <row r="21" ht="21.75" customHeight="1">
      <c r="A21" s="41" t="n"/>
      <c r="B21" s="30" t="n"/>
      <c r="C21" s="30" t="n"/>
      <c r="D21" s="30" t="n"/>
      <c r="E21" s="30" t="n"/>
      <c r="F21" s="30" t="n"/>
      <c r="G21" s="41" t="n"/>
      <c r="H21" s="30" t="n"/>
    </row>
    <row r="22" ht="21.75" customHeight="1">
      <c r="A22" s="41" t="n"/>
      <c r="B22" s="30" t="n"/>
      <c r="C22" s="30" t="n"/>
      <c r="D22" s="30" t="n"/>
      <c r="E22" s="30" t="n"/>
      <c r="F22" s="30" t="n"/>
      <c r="G22" s="41" t="n"/>
      <c r="H22" s="30" t="n"/>
    </row>
    <row r="23" ht="21.75" customHeight="1">
      <c r="A23" s="41" t="n"/>
      <c r="B23" s="30" t="n"/>
      <c r="C23" s="30" t="n"/>
      <c r="D23" s="30" t="n"/>
      <c r="E23" s="30" t="n"/>
      <c r="F23" s="30" t="n"/>
      <c r="G23" s="41" t="n"/>
      <c r="H23" s="30" t="n"/>
    </row>
    <row r="24" ht="21.75" customHeight="1">
      <c r="A24" s="41" t="n"/>
      <c r="B24" s="30" t="n"/>
      <c r="C24" s="30" t="n"/>
      <c r="D24" s="30" t="n"/>
      <c r="E24" s="30" t="n"/>
      <c r="F24" s="30" t="n"/>
      <c r="G24" s="41" t="n"/>
      <c r="H24" s="30" t="n"/>
    </row>
    <row r="25" ht="21.75" customHeight="1">
      <c r="A25" s="41" t="n"/>
      <c r="B25" s="30" t="n"/>
      <c r="C25" s="30" t="n"/>
      <c r="D25" s="30" t="n"/>
      <c r="E25" s="30" t="n"/>
      <c r="F25" s="30" t="n"/>
      <c r="G25" s="41" t="n"/>
      <c r="H25" s="30" t="n"/>
    </row>
    <row r="26" ht="21.75" customHeight="1">
      <c r="A26" s="41" t="n"/>
      <c r="B26" s="30" t="n"/>
      <c r="C26" s="30" t="n"/>
      <c r="D26" s="30" t="n"/>
      <c r="E26" s="30" t="n"/>
      <c r="F26" s="30" t="n"/>
      <c r="G26" s="41" t="n"/>
      <c r="H26" s="30" t="n"/>
    </row>
    <row r="27" ht="21.75" customHeight="1">
      <c r="A27" s="41" t="n"/>
      <c r="B27" s="30" t="n"/>
      <c r="C27" s="30" t="n"/>
      <c r="D27" s="30" t="n"/>
      <c r="E27" s="30" t="n"/>
      <c r="F27" s="30" t="n"/>
      <c r="G27" s="41" t="n"/>
      <c r="H27" s="30" t="n"/>
    </row>
    <row r="28" ht="21.75" customHeight="1">
      <c r="A28" s="41" t="n"/>
      <c r="B28" s="30" t="n"/>
      <c r="C28" s="30" t="n"/>
      <c r="D28" s="30" t="n"/>
      <c r="E28" s="30" t="n"/>
      <c r="F28" s="30" t="n"/>
      <c r="G28" s="41" t="n"/>
      <c r="H28" s="30" t="n"/>
    </row>
    <row r="29" ht="21.75" customHeight="1">
      <c r="A29" s="41" t="n"/>
      <c r="B29" s="30" t="n"/>
      <c r="C29" s="30" t="n"/>
      <c r="D29" s="30" t="n"/>
      <c r="E29" s="30" t="n"/>
      <c r="F29" s="30" t="n"/>
      <c r="G29" s="41" t="n"/>
      <c r="H29" s="30" t="n"/>
    </row>
    <row r="30" ht="21.75" customHeight="1">
      <c r="A30" s="41" t="n"/>
      <c r="B30" s="30" t="n"/>
      <c r="C30" s="30" t="n"/>
      <c r="D30" s="30" t="n"/>
      <c r="E30" s="30" t="n"/>
      <c r="F30" s="30" t="n"/>
      <c r="G30" s="41" t="n"/>
      <c r="H30" s="30" t="n"/>
    </row>
    <row r="31" ht="21.75" customHeight="1">
      <c r="A31" s="41" t="n"/>
      <c r="B31" s="30" t="n"/>
      <c r="C31" s="30" t="n"/>
      <c r="D31" s="30" t="n"/>
      <c r="E31" s="30" t="n"/>
      <c r="F31" s="30" t="n"/>
      <c r="G31" s="41" t="n"/>
      <c r="H31" s="30" t="n"/>
    </row>
    <row r="32" ht="21.75" customHeight="1">
      <c r="A32" s="41" t="n"/>
      <c r="B32" s="30" t="n"/>
      <c r="C32" s="30" t="n"/>
      <c r="D32" s="30" t="n"/>
      <c r="E32" s="30" t="n"/>
      <c r="F32" s="30" t="n"/>
      <c r="G32" s="41" t="n"/>
      <c r="H32" s="30" t="n"/>
    </row>
    <row r="33" ht="21.75" customHeight="1">
      <c r="A33" s="41" t="n"/>
      <c r="B33" s="30" t="n"/>
      <c r="C33" s="30" t="n"/>
      <c r="D33" s="30" t="n"/>
      <c r="E33" s="30" t="n"/>
      <c r="F33" s="30" t="n"/>
      <c r="G33" s="41" t="n"/>
      <c r="H33" s="30" t="n"/>
    </row>
    <row r="34" ht="21.75" customHeight="1">
      <c r="A34" s="41" t="n"/>
      <c r="B34" s="30" t="n"/>
      <c r="C34" s="30" t="n"/>
      <c r="D34" s="30" t="n"/>
      <c r="E34" s="30" t="n"/>
      <c r="F34" s="30" t="n"/>
      <c r="G34" s="41" t="n"/>
      <c r="H34" s="30" t="n"/>
    </row>
    <row r="35" ht="21.75" customHeight="1">
      <c r="A35" s="41" t="n"/>
      <c r="B35" s="30" t="n"/>
      <c r="C35" s="30" t="n"/>
      <c r="D35" s="30" t="n"/>
      <c r="E35" s="30" t="n"/>
      <c r="F35" s="30" t="n"/>
      <c r="G35" s="41" t="n"/>
      <c r="H35" s="30" t="n"/>
    </row>
    <row r="36" ht="21.75" customHeight="1">
      <c r="A36" s="41" t="n"/>
      <c r="B36" s="30" t="n"/>
      <c r="C36" s="30" t="n"/>
      <c r="D36" s="30" t="n"/>
      <c r="E36" s="30" t="n"/>
      <c r="F36" s="30" t="n"/>
      <c r="G36" s="41" t="n"/>
      <c r="H36" s="30" t="n"/>
    </row>
    <row r="37" ht="21.75" customHeight="1">
      <c r="A37" s="41" t="n"/>
      <c r="B37" s="30" t="n"/>
      <c r="C37" s="30" t="n"/>
      <c r="D37" s="30" t="n"/>
      <c r="E37" s="30" t="n"/>
      <c r="F37" s="30" t="n"/>
      <c r="G37" s="41" t="n"/>
      <c r="H37" s="30" t="n"/>
    </row>
    <row r="38" ht="21.75" customHeight="1">
      <c r="A38" s="41" t="n"/>
      <c r="B38" s="30" t="n"/>
      <c r="C38" s="30" t="n"/>
      <c r="D38" s="30" t="n"/>
      <c r="E38" s="30" t="n"/>
      <c r="F38" s="30" t="n"/>
      <c r="G38" s="41" t="n"/>
      <c r="H38" s="30" t="n"/>
    </row>
    <row r="39" ht="21.75" customHeight="1">
      <c r="A39" s="41" t="n"/>
      <c r="B39" s="30" t="n"/>
      <c r="C39" s="30" t="n"/>
      <c r="D39" s="30" t="n"/>
      <c r="E39" s="30" t="n"/>
      <c r="F39" s="30" t="n"/>
      <c r="G39" s="41" t="n"/>
      <c r="H39" s="30" t="n"/>
    </row>
    <row r="40" ht="21.75" customHeight="1">
      <c r="A40" s="41" t="n"/>
      <c r="B40" s="30" t="n"/>
      <c r="C40" s="30" t="n"/>
      <c r="D40" s="30" t="n"/>
      <c r="E40" s="30" t="n"/>
      <c r="F40" s="30" t="n"/>
      <c r="G40" s="41" t="n"/>
      <c r="H40" s="30" t="n"/>
    </row>
    <row r="41" ht="21.75" customHeight="1">
      <c r="A41" s="41" t="n"/>
      <c r="B41" s="30" t="n"/>
      <c r="C41" s="30" t="n"/>
      <c r="D41" s="30" t="n"/>
      <c r="E41" s="30" t="n"/>
      <c r="F41" s="30" t="n"/>
      <c r="G41" s="41" t="n"/>
      <c r="H41" s="30" t="n"/>
    </row>
    <row r="42" ht="21.75" customHeight="1">
      <c r="A42" s="41" t="n"/>
      <c r="B42" s="30" t="n"/>
      <c r="C42" s="30" t="n"/>
      <c r="D42" s="30" t="n"/>
      <c r="E42" s="30" t="n"/>
      <c r="F42" s="30" t="n"/>
      <c r="G42" s="41" t="n"/>
      <c r="H42" s="30" t="n"/>
    </row>
    <row r="43" ht="21.75" customHeight="1">
      <c r="A43" s="41" t="n"/>
      <c r="B43" s="30" t="n"/>
      <c r="C43" s="30" t="n"/>
      <c r="D43" s="30" t="n"/>
      <c r="E43" s="30" t="n"/>
      <c r="F43" s="30" t="n"/>
      <c r="G43" s="41" t="n"/>
      <c r="H43" s="30" t="n"/>
    </row>
    <row r="44" ht="21.75" customHeight="1">
      <c r="A44" s="41" t="n"/>
      <c r="B44" s="30" t="n"/>
      <c r="C44" s="30" t="n"/>
      <c r="D44" s="30" t="n"/>
      <c r="E44" s="30" t="n"/>
      <c r="F44" s="30" t="n"/>
      <c r="G44" s="41" t="n"/>
      <c r="H44" s="30" t="n"/>
    </row>
    <row r="45" ht="21.75" customHeight="1">
      <c r="A45" s="41" t="n"/>
      <c r="B45" s="30" t="n"/>
      <c r="C45" s="30" t="n"/>
      <c r="D45" s="30" t="n"/>
      <c r="E45" s="30" t="n"/>
      <c r="F45" s="30" t="n"/>
      <c r="G45" s="41" t="n"/>
      <c r="H45" s="30" t="n"/>
    </row>
    <row r="46" ht="21.75" customHeight="1">
      <c r="A46" s="41" t="n"/>
      <c r="B46" s="30" t="n"/>
      <c r="C46" s="30" t="n"/>
      <c r="D46" s="30" t="n"/>
      <c r="E46" s="30" t="n"/>
      <c r="F46" s="30" t="n"/>
      <c r="G46" s="41" t="n"/>
      <c r="H46" s="30" t="n"/>
    </row>
    <row r="47" ht="21.75" customHeight="1">
      <c r="A47" s="41" t="n"/>
      <c r="B47" s="30" t="n"/>
      <c r="C47" s="30" t="n"/>
      <c r="D47" s="30" t="n"/>
      <c r="E47" s="30" t="n"/>
      <c r="F47" s="30" t="n"/>
      <c r="G47" s="41" t="n"/>
      <c r="H47" s="30" t="n"/>
    </row>
    <row r="48" ht="21.75" customHeight="1">
      <c r="A48" s="41" t="n"/>
      <c r="B48" s="30" t="n"/>
      <c r="C48" s="30" t="n"/>
      <c r="D48" s="30" t="n"/>
      <c r="E48" s="30" t="n"/>
      <c r="F48" s="30" t="n"/>
      <c r="G48" s="41" t="n"/>
      <c r="H48" s="30" t="n"/>
    </row>
    <row r="49" ht="21.75" customHeight="1">
      <c r="A49" s="41" t="n"/>
      <c r="B49" s="30" t="n"/>
      <c r="C49" s="30" t="n"/>
      <c r="D49" s="30" t="n"/>
      <c r="E49" s="30" t="n"/>
      <c r="F49" s="30" t="n"/>
      <c r="G49" s="41" t="n"/>
      <c r="H49" s="30" t="n"/>
    </row>
    <row r="50" ht="21.75" customHeight="1">
      <c r="A50" s="41" t="n"/>
      <c r="B50" s="30" t="n"/>
      <c r="C50" s="30" t="n"/>
      <c r="D50" s="30" t="n"/>
      <c r="E50" s="30" t="n"/>
      <c r="F50" s="30" t="n"/>
      <c r="G50" s="41" t="n"/>
      <c r="H50" s="30" t="n"/>
    </row>
    <row r="51" ht="21.75" customHeight="1">
      <c r="A51" s="41" t="n"/>
      <c r="B51" s="30" t="n"/>
      <c r="C51" s="30" t="n"/>
      <c r="D51" s="30" t="n"/>
      <c r="E51" s="30" t="n"/>
      <c r="F51" s="30" t="n"/>
      <c r="G51" s="41" t="n"/>
      <c r="H51" s="30" t="n"/>
    </row>
    <row r="52" ht="21.75" customHeight="1">
      <c r="A52" s="41" t="n"/>
      <c r="B52" s="30" t="n"/>
      <c r="C52" s="30" t="n"/>
      <c r="D52" s="30" t="n"/>
      <c r="E52" s="30" t="n"/>
      <c r="F52" s="30" t="n"/>
      <c r="G52" s="41" t="n"/>
      <c r="H52" s="30" t="n"/>
    </row>
    <row r="53" ht="21.75" customHeight="1">
      <c r="A53" s="41" t="n"/>
      <c r="B53" s="30" t="n"/>
      <c r="C53" s="30" t="n"/>
      <c r="D53" s="30" t="n"/>
      <c r="E53" s="30" t="n"/>
      <c r="F53" s="30" t="n"/>
      <c r="G53" s="41" t="n"/>
      <c r="H53" s="30" t="n"/>
    </row>
    <row r="54" ht="21.75" customHeight="1">
      <c r="A54" s="41" t="n"/>
      <c r="B54" s="30" t="n"/>
      <c r="C54" s="30" t="n"/>
      <c r="D54" s="30" t="n"/>
      <c r="E54" s="30" t="n"/>
      <c r="F54" s="30" t="n"/>
      <c r="G54" s="41" t="n"/>
      <c r="H54" s="30" t="n"/>
    </row>
    <row r="55" ht="21.75" customHeight="1">
      <c r="A55" s="41" t="n"/>
      <c r="B55" s="30" t="n"/>
      <c r="C55" s="30" t="n"/>
      <c r="D55" s="30" t="n"/>
      <c r="E55" s="30" t="n"/>
      <c r="F55" s="30" t="n"/>
      <c r="G55" s="41" t="n"/>
      <c r="H55" s="30" t="n"/>
    </row>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autoFilter ref="A5:H55"/>
  <dataValidations count="1">
    <dataValidation sqref="F6:F55" showDropDown="0" showInputMessage="0" showErrorMessage="0" allowBlank="1" type="list">
      <formula1>"A revisar,Aprovado,Em teste,Concluído,Descartado"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15"/>
  <sheetViews>
    <sheetView showGridLines="0" workbookViewId="0">
      <pane ySplit="5" topLeftCell="A6" activePane="bottomLeft" state="frozen"/>
      <selection pane="bottomLeft" activeCell="A1" sqref="A1"/>
    </sheetView>
  </sheetViews>
  <sheetFormatPr baseColWidth="8" defaultRowHeight="15"/>
  <cols>
    <col width="34.99" customWidth="1" min="1" max="1"/>
    <col width="12" customWidth="1" min="2" max="2"/>
    <col width="9.98" customWidth="1" min="3" max="3"/>
    <col width="12" customWidth="1" min="4" max="4"/>
    <col width="13.01" customWidth="1" min="5" max="5"/>
    <col width="15.03" customWidth="1" min="6" max="6"/>
    <col width="13.01" customWidth="1" min="7" max="7"/>
    <col width="12" customWidth="1" min="8" max="8"/>
    <col width="24" customWidth="1" min="9" max="9"/>
    <col width="53.05" customWidth="1" min="10" max="10"/>
    <col width="42.06" customWidth="1" min="11" max="11"/>
    <col width="21.98" customWidth="1" min="12" max="12"/>
    <col width="8.59" customWidth="1" min="13" max="13"/>
    <col width="8.59" customWidth="1" min="14" max="14"/>
    <col width="8.59"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s>
  <sheetData>
    <row r="1" ht="21.75" customHeight="1">
      <c r="A1" s="18" t="n"/>
      <c r="B1" s="18" t="n"/>
      <c r="C1" s="18" t="n"/>
      <c r="D1" s="18" t="n"/>
      <c r="E1" s="18" t="n"/>
      <c r="F1" s="18" t="n"/>
      <c r="G1" s="18" t="n"/>
      <c r="H1" s="18" t="n"/>
      <c r="I1" s="18" t="n"/>
      <c r="J1" s="18" t="n"/>
      <c r="K1" s="18" t="n"/>
      <c r="L1" s="18" t="n"/>
    </row>
    <row r="2" ht="21.75" customHeight="1">
      <c r="A2" s="19" t="inlineStr">
        <is>
          <t>Base de alimentos e macros</t>
        </is>
      </c>
      <c r="B2" s="18" t="n"/>
      <c r="C2" s="18" t="n"/>
      <c r="D2" s="18" t="n"/>
      <c r="E2" s="18" t="n"/>
      <c r="F2" s="18" t="n"/>
      <c r="G2" s="18" t="n"/>
      <c r="H2" s="18" t="n"/>
      <c r="I2" s="18" t="n"/>
      <c r="J2" s="18" t="n"/>
      <c r="K2" s="18" t="n"/>
      <c r="L2" s="18" t="n"/>
    </row>
    <row r="3" ht="21.75" customHeight="1">
      <c r="A3" s="20" t="inlineStr">
        <is>
          <t>Unidade-base e porção-base definem os nutrientes. Medida caseira é opcional. Não converter ml em g sem densidade.</t>
        </is>
      </c>
      <c r="B3" s="18" t="n"/>
      <c r="C3" s="18" t="n"/>
      <c r="D3" s="18" t="n"/>
      <c r="E3" s="18" t="n"/>
      <c r="F3" s="18" t="n"/>
      <c r="G3" s="18" t="n"/>
      <c r="H3" s="18" t="n"/>
      <c r="I3" s="18" t="n"/>
      <c r="J3" s="18" t="n"/>
      <c r="K3" s="18" t="n"/>
      <c r="L3" s="18" t="n"/>
    </row>
    <row r="4" ht="21.75" customHeight="1">
      <c r="A4" s="18" t="n"/>
      <c r="B4" s="18" t="n"/>
      <c r="C4" s="18" t="n"/>
      <c r="D4" s="18" t="n"/>
      <c r="E4" s="18" t="n"/>
      <c r="F4" s="18" t="n"/>
      <c r="G4" s="18" t="n"/>
      <c r="H4" s="18" t="n"/>
      <c r="I4" s="18" t="n"/>
      <c r="J4" s="18" t="n"/>
      <c r="K4" s="18" t="n"/>
      <c r="L4" s="18" t="n"/>
    </row>
    <row r="5" ht="37.5" customHeight="1">
      <c r="A5" s="31" t="inlineStr">
        <is>
          <t>Alimento único</t>
        </is>
      </c>
      <c r="B5" s="31" t="inlineStr">
        <is>
          <t>Unidade-base</t>
        </is>
      </c>
      <c r="C5" s="31" t="inlineStr">
        <is>
          <t>Base</t>
        </is>
      </c>
      <c r="D5" s="31" t="inlineStr">
        <is>
          <t>kcal</t>
        </is>
      </c>
      <c r="E5" s="31" t="inlineStr">
        <is>
          <t>Proteína g</t>
        </is>
      </c>
      <c r="F5" s="31" t="inlineStr">
        <is>
          <t>Carboidrato g</t>
        </is>
      </c>
      <c r="G5" s="31" t="inlineStr">
        <is>
          <t>Gordura g</t>
        </is>
      </c>
      <c r="H5" s="31" t="inlineStr">
        <is>
          <t>Fibra g</t>
        </is>
      </c>
      <c r="I5" s="31" t="inlineStr">
        <is>
          <t>Referência</t>
        </is>
      </c>
      <c r="J5" s="31" t="inlineStr">
        <is>
          <t>Como medir</t>
        </is>
      </c>
      <c r="K5" s="31" t="inlineStr">
        <is>
          <t>Link da fonte</t>
        </is>
      </c>
      <c r="L5" s="31" t="inlineStr">
        <is>
          <t>Cadastro válido</t>
        </is>
      </c>
      <c r="M5" s="31" t="inlineStr">
        <is>
          <t>Medida caseira</t>
        </is>
      </c>
      <c r="N5" s="32" t="inlineStr">
        <is>
          <t>Base por medida</t>
        </is>
      </c>
      <c r="O5" s="32" t="inlineStr">
        <is>
          <t>Qualidade da referência</t>
        </is>
      </c>
    </row>
    <row r="6" ht="21.75" customHeight="1">
      <c r="A6" s="30" t="inlineStr">
        <is>
          <t>Ovo inteiro cozido</t>
        </is>
      </c>
      <c r="B6" s="30" t="inlineStr">
        <is>
          <t>g</t>
        </is>
      </c>
      <c r="C6" s="35" t="n">
        <v>100</v>
      </c>
      <c r="D6" s="35" t="n">
        <v>146</v>
      </c>
      <c r="E6" s="35" t="n">
        <v>13.3</v>
      </c>
      <c r="F6" s="35" t="n">
        <v>0.6</v>
      </c>
      <c r="G6" s="35" t="n">
        <v>9.5</v>
      </c>
      <c r="H6" s="35" t="n">
        <v>0</v>
      </c>
      <c r="I6" s="30" t="inlineStr">
        <is>
          <t>TACO 4ª ed.; pelo nome</t>
        </is>
      </c>
      <c r="J6" s="30" t="inlineStr">
        <is>
          <t>50 g sem casca por ovo, estimativa</t>
        </is>
      </c>
      <c r="K6" s="30" t="inlineStr">
        <is>
          <t>https://nepa.unicamp.br/wp-content/uploads/sites/27/2023/10/taco_4_edicao_ampliada_e_revisada.pdf</t>
        </is>
      </c>
      <c r="L6" s="18">
        <f>IF(A6="","",IF(AND(ISNUMBER(C6),C6&gt;0,COUNT(D6:H6)=5),"OK","Rever macros"))</f>
        <v/>
      </c>
      <c r="M6" s="18" t="inlineStr">
        <is>
          <t>un</t>
        </is>
      </c>
      <c r="N6" s="34" t="n">
        <v>50</v>
      </c>
      <c r="O6" s="34" t="inlineStr">
        <is>
          <t>Referência cadastrada — não auditada nesta revisão</t>
        </is>
      </c>
    </row>
    <row r="7" ht="21.75" customHeight="1">
      <c r="A7" s="30" t="inlineStr">
        <is>
          <t>Peito de frango cozido</t>
        </is>
      </c>
      <c r="B7" s="30" t="inlineStr">
        <is>
          <t>g</t>
        </is>
      </c>
      <c r="C7" s="35" t="n">
        <v>100</v>
      </c>
      <c r="D7" s="35" t="n">
        <v>163</v>
      </c>
      <c r="E7" s="35" t="n">
        <v>31.5</v>
      </c>
      <c r="F7" s="35" t="n">
        <v>0</v>
      </c>
      <c r="G7" s="35" t="n">
        <v>3.2</v>
      </c>
      <c r="H7" s="35" t="n">
        <v>0</v>
      </c>
      <c r="I7" s="30" t="inlineStr">
        <is>
          <t>TACO 4ª ed.; pelo nome</t>
        </is>
      </c>
      <c r="J7" s="30" t="inlineStr">
        <is>
          <t>Pesar pronto; óleo separado</t>
        </is>
      </c>
      <c r="K7" s="30" t="inlineStr">
        <is>
          <t>https://nepa.unicamp.br/wp-content/uploads/sites/27/2023/10/taco_4_edicao_ampliada_e_revisada.pdf</t>
        </is>
      </c>
      <c r="L7" s="18">
        <f>IF(A7="","",IF(AND(ISNUMBER(C7),C7&gt;0,COUNT(D7:H7)=5),"OK","Rever macros"))</f>
        <v/>
      </c>
      <c r="M7" s="18" t="n"/>
      <c r="O7" s="34" t="inlineStr">
        <is>
          <t>Referência cadastrada — não auditada nesta revisão</t>
        </is>
      </c>
    </row>
    <row r="8" ht="21.75" customHeight="1">
      <c r="A8" s="30" t="inlineStr">
        <is>
          <t>Arroz branco cozido</t>
        </is>
      </c>
      <c r="B8" s="30" t="inlineStr">
        <is>
          <t>g</t>
        </is>
      </c>
      <c r="C8" s="35" t="n">
        <v>100</v>
      </c>
      <c r="D8" s="35" t="n">
        <v>128</v>
      </c>
      <c r="E8" s="35" t="n">
        <v>2.5</v>
      </c>
      <c r="F8" s="35" t="n">
        <v>28.1</v>
      </c>
      <c r="G8" s="35" t="n">
        <v>0.2</v>
      </c>
      <c r="H8" s="35" t="n">
        <v>1.6</v>
      </c>
      <c r="I8" s="30" t="inlineStr">
        <is>
          <t>TACO 4ª ed.; pelo nome</t>
        </is>
      </c>
      <c r="J8" s="30" t="inlineStr">
        <is>
          <t>Pesar pronto; óleo separado</t>
        </is>
      </c>
      <c r="K8" s="30" t="inlineStr">
        <is>
          <t>https://nepa.unicamp.br/wp-content/uploads/sites/27/2023/10/taco_4_edicao_ampliada_e_revisada.pdf</t>
        </is>
      </c>
      <c r="L8" s="18">
        <f>IF(A8="","",IF(AND(ISNUMBER(C8),C8&gt;0,COUNT(D8:H8)=5),"OK","Rever macros"))</f>
        <v/>
      </c>
      <c r="M8" s="18" t="n"/>
      <c r="O8" s="34" t="inlineStr">
        <is>
          <t>Referência cadastrada — não auditada nesta revisão</t>
        </is>
      </c>
    </row>
    <row r="9" ht="21.75" customHeight="1">
      <c r="A9" s="30" t="inlineStr">
        <is>
          <t>Feijão carioca cozido</t>
        </is>
      </c>
      <c r="B9" s="30" t="inlineStr">
        <is>
          <t>g</t>
        </is>
      </c>
      <c r="C9" s="35" t="n">
        <v>100</v>
      </c>
      <c r="D9" s="35" t="n">
        <v>76</v>
      </c>
      <c r="E9" s="35" t="n">
        <v>4.8</v>
      </c>
      <c r="F9" s="35" t="n">
        <v>13.6</v>
      </c>
      <c r="G9" s="35" t="n">
        <v>0.5</v>
      </c>
      <c r="H9" s="35" t="n">
        <v>8.5</v>
      </c>
      <c r="I9" s="30" t="inlineStr">
        <is>
          <t>TACO 4ª ed.; pelo nome</t>
        </is>
      </c>
      <c r="J9" s="30" t="inlineStr">
        <is>
          <t>Caldo e grãos conforme preparo</t>
        </is>
      </c>
      <c r="K9" s="30" t="inlineStr">
        <is>
          <t>https://nepa.unicamp.br/wp-content/uploads/sites/27/2023/10/taco_4_edicao_ampliada_e_revisada.pdf</t>
        </is>
      </c>
      <c r="L9" s="18">
        <f>IF(A9="","",IF(AND(ISNUMBER(C9),C9&gt;0,COUNT(D9:H9)=5),"OK","Rever macros"))</f>
        <v/>
      </c>
      <c r="M9" s="18" t="n"/>
      <c r="O9" s="34" t="inlineStr">
        <is>
          <t>Referência cadastrada — não auditada nesta revisão</t>
        </is>
      </c>
    </row>
    <row r="10" ht="21.75" customHeight="1">
      <c r="A10" s="30" t="inlineStr">
        <is>
          <t>Pão integral</t>
        </is>
      </c>
      <c r="B10" s="30" t="inlineStr">
        <is>
          <t>g</t>
        </is>
      </c>
      <c r="C10" s="35" t="n">
        <v>100</v>
      </c>
      <c r="D10" s="35" t="n">
        <v>253</v>
      </c>
      <c r="E10" s="35" t="n">
        <v>9.4</v>
      </c>
      <c r="F10" s="35" t="n">
        <v>49.9</v>
      </c>
      <c r="G10" s="35" t="n">
        <v>3.7</v>
      </c>
      <c r="H10" s="35" t="n">
        <v>6.9</v>
      </c>
      <c r="I10" s="30" t="inlineStr">
        <is>
          <t>TACO 4ª ed.; pelo nome</t>
        </is>
      </c>
      <c r="J10" s="30" t="inlineStr">
        <is>
          <t>Fatia de 25 g é aproximação; conferir marca</t>
        </is>
      </c>
      <c r="K10" s="30" t="inlineStr">
        <is>
          <t>https://nepa.unicamp.br/wp-content/uploads/sites/27/2023/10/taco_4_edicao_ampliada_e_revisada.pdf</t>
        </is>
      </c>
      <c r="L10" s="18">
        <f>IF(A10="","",IF(AND(ISNUMBER(C10),C10&gt;0,COUNT(D10:H10)=5),"OK","Rever macros"))</f>
        <v/>
      </c>
      <c r="M10" s="18" t="inlineStr">
        <is>
          <t>fatia</t>
        </is>
      </c>
      <c r="N10" s="34" t="n">
        <v>25</v>
      </c>
      <c r="O10" s="34" t="inlineStr">
        <is>
          <t>Referência cadastrada — não auditada nesta revisão</t>
        </is>
      </c>
    </row>
    <row r="11" ht="21.75" customHeight="1">
      <c r="A11" s="30" t="inlineStr">
        <is>
          <t>Banana nanica</t>
        </is>
      </c>
      <c r="B11" s="30" t="inlineStr">
        <is>
          <t>g</t>
        </is>
      </c>
      <c r="C11" s="35" t="n">
        <v>100</v>
      </c>
      <c r="D11" s="35" t="n">
        <v>92</v>
      </c>
      <c r="E11" s="35" t="n">
        <v>1.4</v>
      </c>
      <c r="F11" s="35" t="n">
        <v>23.8</v>
      </c>
      <c r="G11" s="35" t="n">
        <v>0.1</v>
      </c>
      <c r="H11" s="35" t="n">
        <v>1.9</v>
      </c>
      <c r="I11" s="30" t="inlineStr">
        <is>
          <t>TACO 4ª ed.; pelo nome</t>
        </is>
      </c>
      <c r="J11" s="30" t="inlineStr">
        <is>
          <t>Sem casca</t>
        </is>
      </c>
      <c r="K11" s="30" t="inlineStr">
        <is>
          <t>https://nepa.unicamp.br/wp-content/uploads/sites/27/2023/10/taco_4_edicao_ampliada_e_revisada.pdf</t>
        </is>
      </c>
      <c r="L11" s="18">
        <f>IF(A11="","",IF(AND(ISNUMBER(C11),C11&gt;0,COUNT(D11:H11)=5),"OK","Rever macros"))</f>
        <v/>
      </c>
      <c r="M11" s="18" t="n"/>
      <c r="O11" s="34" t="inlineStr">
        <is>
          <t>Referência cadastrada — não auditada nesta revisão</t>
        </is>
      </c>
    </row>
    <row r="12" ht="21.75" customHeight="1">
      <c r="A12" s="30" t="inlineStr">
        <is>
          <t>Aveia em flocos</t>
        </is>
      </c>
      <c r="B12" s="30" t="inlineStr">
        <is>
          <t>g</t>
        </is>
      </c>
      <c r="C12" s="35" t="n">
        <v>100</v>
      </c>
      <c r="D12" s="35" t="n">
        <v>394</v>
      </c>
      <c r="E12" s="35" t="n">
        <v>13.9</v>
      </c>
      <c r="F12" s="35" t="n">
        <v>66.59999999999999</v>
      </c>
      <c r="G12" s="35" t="n">
        <v>8.5</v>
      </c>
      <c r="H12" s="35" t="n">
        <v>9.1</v>
      </c>
      <c r="I12" s="30" t="inlineStr">
        <is>
          <t>TACO 4ª ed.; pelo nome</t>
        </is>
      </c>
      <c r="J12" s="30" t="inlineStr">
        <is>
          <t>Peso seco</t>
        </is>
      </c>
      <c r="K12" s="30" t="inlineStr">
        <is>
          <t>https://nepa.unicamp.br/wp-content/uploads/sites/27/2023/10/taco_4_edicao_ampliada_e_revisada.pdf</t>
        </is>
      </c>
      <c r="L12" s="18">
        <f>IF(A12="","",IF(AND(ISNUMBER(C12),C12&gt;0,COUNT(D12:H12)=5),"OK","Rever macros"))</f>
        <v/>
      </c>
      <c r="M12" s="18" t="n"/>
      <c r="O12" s="34" t="inlineStr">
        <is>
          <t>Referência cadastrada — não auditada nesta revisão</t>
        </is>
      </c>
    </row>
    <row r="13" ht="21.75" customHeight="1">
      <c r="A13" s="30" t="inlineStr">
        <is>
          <t>Leite integral (estimativa)</t>
        </is>
      </c>
      <c r="B13" s="30" t="inlineStr">
        <is>
          <t>ml</t>
        </is>
      </c>
      <c r="C13" s="35" t="n">
        <v>100</v>
      </c>
      <c r="D13" s="35" t="n">
        <v>61</v>
      </c>
      <c r="E13" s="35" t="n">
        <v>3.2</v>
      </c>
      <c r="F13" s="35" t="n">
        <v>4.7</v>
      </c>
      <c r="G13" s="35" t="n">
        <v>3.3</v>
      </c>
      <c r="H13" s="35" t="n">
        <v>0</v>
      </c>
      <c r="I13" s="30" t="inlineStr">
        <is>
          <t>Estimativa genérica</t>
        </is>
      </c>
      <c r="J13" s="30" t="inlineStr">
        <is>
          <t>Substituir pelos valores do rótulo</t>
        </is>
      </c>
      <c r="K13" s="30" t="inlineStr">
        <is>
          <t>Conferir rótulo / estimativa</t>
        </is>
      </c>
      <c r="L13" s="18">
        <f>IF(A13="","",IF(AND(ISNUMBER(C13),C13&gt;0,COUNT(D13:H13)=5),"OK","Rever macros"))</f>
        <v/>
      </c>
      <c r="M13" s="18" t="n"/>
      <c r="O13" s="34" t="inlineStr">
        <is>
          <t>Estimativa — conferir rótulo</t>
        </is>
      </c>
    </row>
    <row r="14" ht="21.75" customHeight="1">
      <c r="A14" s="30" t="inlineStr">
        <is>
          <t>Whey (rótulo a conferir)</t>
        </is>
      </c>
      <c r="B14" s="30" t="inlineStr">
        <is>
          <t>g</t>
        </is>
      </c>
      <c r="C14" s="35" t="n">
        <v>30</v>
      </c>
      <c r="D14" s="35" t="n">
        <v>120</v>
      </c>
      <c r="E14" s="35" t="n">
        <v>23</v>
      </c>
      <c r="F14" s="35" t="n">
        <v>4</v>
      </c>
      <c r="G14" s="35" t="n">
        <v>1.3</v>
      </c>
      <c r="H14" s="35" t="n">
        <v>0</v>
      </c>
      <c r="I14" s="30" t="inlineStr">
        <is>
          <t>Estimativa genérica</t>
        </is>
      </c>
      <c r="J14" s="30" t="inlineStr">
        <is>
          <t>30 g de pó. Atualizar ao comprar</t>
        </is>
      </c>
      <c r="K14" s="30" t="inlineStr">
        <is>
          <t>Conferir rótulo / estimativa</t>
        </is>
      </c>
      <c r="L14" s="18">
        <f>IF(A14="","",IF(AND(ISNUMBER(C14),C14&gt;0,COUNT(D14:H14)=5),"OK","Rever macros"))</f>
        <v/>
      </c>
      <c r="M14" s="18" t="n"/>
      <c r="O14" s="34" t="inlineStr">
        <is>
          <t>Estimativa — conferir rótulo</t>
        </is>
      </c>
    </row>
    <row r="15" ht="21.75" customHeight="1">
      <c r="A15" s="30" t="inlineStr">
        <is>
          <t>Azeite</t>
        </is>
      </c>
      <c r="B15" s="30" t="inlineStr">
        <is>
          <t>g</t>
        </is>
      </c>
      <c r="C15" s="35" t="n">
        <v>100</v>
      </c>
      <c r="D15" s="35" t="n">
        <v>884</v>
      </c>
      <c r="E15" s="35" t="n">
        <v>0</v>
      </c>
      <c r="F15" s="35" t="n">
        <v>0</v>
      </c>
      <c r="G15" s="35" t="n">
        <v>100</v>
      </c>
      <c r="H15" s="35" t="n">
        <v>0</v>
      </c>
      <c r="I15" s="30" t="inlineStr">
        <is>
          <t>TACO 4ª ed.; pelo nome</t>
        </is>
      </c>
      <c r="J15" s="30" t="inlineStr">
        <is>
          <t>Contabilizar gordura usada no preparo</t>
        </is>
      </c>
      <c r="K15" s="30" t="inlineStr">
        <is>
          <t>https://nepa.unicamp.br/wp-content/uploads/sites/27/2023/10/taco_4_edicao_ampliada_e_revisada.pdf</t>
        </is>
      </c>
      <c r="L15" s="18">
        <f>IF(A15="","",IF(AND(ISNUMBER(C15),C15&gt;0,COUNT(D15:H15)=5),"OK","Rever macros"))</f>
        <v/>
      </c>
      <c r="M15" s="18" t="n"/>
      <c r="O15" s="34" t="inlineStr">
        <is>
          <t>Referência cadastrada — não auditada nesta revisão</t>
        </is>
      </c>
    </row>
    <row r="16" ht="21.75" customHeight="1">
      <c r="A16" s="30" t="inlineStr">
        <is>
          <t>Cenoura cozida</t>
        </is>
      </c>
      <c r="B16" s="30" t="inlineStr">
        <is>
          <t>g</t>
        </is>
      </c>
      <c r="C16" s="35" t="n">
        <v>100</v>
      </c>
      <c r="D16" s="35" t="n">
        <v>30</v>
      </c>
      <c r="E16" s="35" t="n">
        <v>0.8</v>
      </c>
      <c r="F16" s="35" t="n">
        <v>6.7</v>
      </c>
      <c r="G16" s="35" t="n">
        <v>0.2</v>
      </c>
      <c r="H16" s="35" t="n">
        <v>2.6</v>
      </c>
      <c r="I16" s="30" t="inlineStr">
        <is>
          <t>TACO 4ª ed.; pelo nome</t>
        </is>
      </c>
      <c r="J16" s="30" t="inlineStr">
        <is>
          <t>Exemplo de legume; substituir pelo consumido</t>
        </is>
      </c>
      <c r="K16" s="30" t="inlineStr">
        <is>
          <t>https://nepa.unicamp.br/wp-content/uploads/sites/27/2023/10/taco_4_edicao_ampliada_e_revisada.pdf</t>
        </is>
      </c>
      <c r="L16" s="18">
        <f>IF(A16="","",IF(AND(ISNUMBER(C16),C16&gt;0,COUNT(D16:H16)=5),"OK","Rever macros"))</f>
        <v/>
      </c>
      <c r="M16" s="18" t="n"/>
      <c r="O16" s="34" t="inlineStr">
        <is>
          <t>Referência cadastrada — não auditada nesta revisão</t>
        </is>
      </c>
    </row>
    <row r="17" ht="21.75" customHeight="1">
      <c r="A17" s="30" t="inlineStr">
        <is>
          <t>Laranja pera</t>
        </is>
      </c>
      <c r="B17" s="30" t="inlineStr">
        <is>
          <t>g</t>
        </is>
      </c>
      <c r="C17" s="35" t="n">
        <v>100</v>
      </c>
      <c r="D17" s="35" t="n">
        <v>37</v>
      </c>
      <c r="E17" s="35" t="n">
        <v>1</v>
      </c>
      <c r="F17" s="35" t="n">
        <v>8.9</v>
      </c>
      <c r="G17" s="35" t="n">
        <v>0.1</v>
      </c>
      <c r="H17" s="35" t="n">
        <v>0.8</v>
      </c>
      <c r="I17" s="30" t="inlineStr">
        <is>
          <t>TACO 4ª ed.; pelo nome</t>
        </is>
      </c>
      <c r="J17" s="30" t="inlineStr">
        <is>
          <t>Parte comestível</t>
        </is>
      </c>
      <c r="K17" s="30" t="inlineStr">
        <is>
          <t>https://nepa.unicamp.br/wp-content/uploads/sites/27/2023/10/taco_4_edicao_ampliada_e_revisada.pdf</t>
        </is>
      </c>
      <c r="L17" s="18">
        <f>IF(A17="","",IF(AND(ISNUMBER(C17),C17&gt;0,COUNT(D17:H17)=5),"OK","Rever macros"))</f>
        <v/>
      </c>
      <c r="M17" s="18" t="n"/>
      <c r="O17" s="34" t="inlineStr">
        <is>
          <t>Referência cadastrada — não auditada nesta revisão</t>
        </is>
      </c>
    </row>
    <row r="18" ht="21.75" customHeight="1">
      <c r="A18" s="30" t="inlineStr">
        <is>
          <t>Batata inglesa cozida</t>
        </is>
      </c>
      <c r="B18" s="30" t="inlineStr">
        <is>
          <t>g</t>
        </is>
      </c>
      <c r="C18" s="35" t="n">
        <v>100</v>
      </c>
      <c r="D18" s="35" t="n">
        <v>52</v>
      </c>
      <c r="E18" s="35" t="n">
        <v>1.2</v>
      </c>
      <c r="F18" s="35" t="n">
        <v>11.9</v>
      </c>
      <c r="G18" s="35" t="n">
        <v>0</v>
      </c>
      <c r="H18" s="35" t="n">
        <v>1.3</v>
      </c>
      <c r="I18" s="30" t="inlineStr">
        <is>
          <t>TACO 4ª ed.; pelo nome</t>
        </is>
      </c>
      <c r="J18" s="30" t="inlineStr">
        <is>
          <t>Sem óleo</t>
        </is>
      </c>
      <c r="K18" s="30" t="inlineStr">
        <is>
          <t>https://nepa.unicamp.br/wp-content/uploads/sites/27/2023/10/taco_4_edicao_ampliada_e_revisada.pdf</t>
        </is>
      </c>
      <c r="L18" s="18">
        <f>IF(A18="","",IF(AND(ISNUMBER(C18),C18&gt;0,COUNT(D18:H18)=5),"OK","Rever macros"))</f>
        <v/>
      </c>
      <c r="M18" s="18" t="n"/>
      <c r="O18" s="34" t="inlineStr">
        <is>
          <t>Referência cadastrada — não auditada nesta revisão</t>
        </is>
      </c>
    </row>
    <row r="19" ht="21.75" customHeight="1">
      <c r="A19" s="30" t="inlineStr">
        <is>
          <t>Batata doce cozida</t>
        </is>
      </c>
      <c r="B19" s="30" t="inlineStr">
        <is>
          <t>g</t>
        </is>
      </c>
      <c r="C19" s="35" t="n">
        <v>100</v>
      </c>
      <c r="D19" s="35" t="n">
        <v>77</v>
      </c>
      <c r="E19" s="35" t="n">
        <v>0.6</v>
      </c>
      <c r="F19" s="35" t="n">
        <v>18.4</v>
      </c>
      <c r="G19" s="35" t="n">
        <v>0.1</v>
      </c>
      <c r="H19" s="35" t="n">
        <v>2.2</v>
      </c>
      <c r="I19" s="30" t="inlineStr">
        <is>
          <t>TACO 4ª ed.; pelo nome</t>
        </is>
      </c>
      <c r="J19" s="30" t="inlineStr">
        <is>
          <t>Sem óleo</t>
        </is>
      </c>
      <c r="K19" s="30" t="inlineStr">
        <is>
          <t>https://nepa.unicamp.br/wp-content/uploads/sites/27/2023/10/taco_4_edicao_ampliada_e_revisada.pdf</t>
        </is>
      </c>
      <c r="L19" s="18">
        <f>IF(A19="","",IF(AND(ISNUMBER(C19),C19&gt;0,COUNT(D19:H19)=5),"OK","Rever macros"))</f>
        <v/>
      </c>
      <c r="M19" s="18" t="n"/>
      <c r="O19" s="34" t="inlineStr">
        <is>
          <t>Referência cadastrada — não auditada nesta revisão</t>
        </is>
      </c>
    </row>
    <row r="20" ht="21.75" customHeight="1">
      <c r="A20" s="30" t="inlineStr">
        <is>
          <t>Iogurte natural</t>
        </is>
      </c>
      <c r="B20" s="30" t="inlineStr">
        <is>
          <t>g</t>
        </is>
      </c>
      <c r="C20" s="35" t="n">
        <v>100</v>
      </c>
      <c r="D20" s="35" t="n">
        <v>51</v>
      </c>
      <c r="E20" s="35" t="n">
        <v>4.1</v>
      </c>
      <c r="F20" s="35" t="n">
        <v>1.9</v>
      </c>
      <c r="G20" s="35" t="n">
        <v>3</v>
      </c>
      <c r="H20" s="35" t="n">
        <v>0</v>
      </c>
      <c r="I20" s="30" t="inlineStr">
        <is>
          <t>TACO 4ª ed.; pelo nome</t>
        </is>
      </c>
      <c r="J20" s="30" t="inlineStr">
        <is>
          <t>Conferir rótulo do produto</t>
        </is>
      </c>
      <c r="K20" s="30" t="inlineStr">
        <is>
          <t>https://nepa.unicamp.br/wp-content/uploads/sites/27/2023/10/taco_4_edicao_ampliada_e_revisada.pdf</t>
        </is>
      </c>
      <c r="L20" s="18">
        <f>IF(A20="","",IF(AND(ISNUMBER(C20),C20&gt;0,COUNT(D20:H20)=5),"OK","Rever macros"))</f>
        <v/>
      </c>
      <c r="M20" s="18" t="n"/>
      <c r="O20" s="34" t="inlineStr">
        <is>
          <t>Referência cadastrada — não auditada nesta revisão</t>
        </is>
      </c>
    </row>
    <row r="21" ht="21.75" customHeight="1">
      <c r="A21" s="30" t="inlineStr">
        <is>
          <t>Queijo minas frescal</t>
        </is>
      </c>
      <c r="B21" s="30" t="inlineStr">
        <is>
          <t>g</t>
        </is>
      </c>
      <c r="C21" s="35" t="n">
        <v>100</v>
      </c>
      <c r="D21" s="35" t="n">
        <v>264</v>
      </c>
      <c r="E21" s="35" t="n">
        <v>17.4</v>
      </c>
      <c r="F21" s="35" t="n">
        <v>3.2</v>
      </c>
      <c r="G21" s="35" t="n">
        <v>20.2</v>
      </c>
      <c r="H21" s="35" t="n">
        <v>0</v>
      </c>
      <c r="I21" s="30" t="inlineStr">
        <is>
          <t>TACO 4ª ed.; pelo nome</t>
        </is>
      </c>
      <c r="J21" s="30" t="inlineStr">
        <is>
          <t>Pesar porção</t>
        </is>
      </c>
      <c r="K21" s="30" t="inlineStr">
        <is>
          <t>https://nepa.unicamp.br/wp-content/uploads/sites/27/2023/10/taco_4_edicao_ampliada_e_revisada.pdf</t>
        </is>
      </c>
      <c r="L21" s="18">
        <f>IF(A21="","",IF(AND(ISNUMBER(C21),C21&gt;0,COUNT(D21:H21)=5),"OK","Rever macros"))</f>
        <v/>
      </c>
      <c r="M21" s="18" t="n"/>
      <c r="O21" s="34" t="inlineStr">
        <is>
          <t>Referência cadastrada — não auditada nesta revisão</t>
        </is>
      </c>
    </row>
    <row r="22" ht="21.75" customHeight="1">
      <c r="A22" s="30" t="inlineStr">
        <is>
          <t>Clara de ovo cozida</t>
        </is>
      </c>
      <c r="B22" s="30" t="inlineStr">
        <is>
          <t>g</t>
        </is>
      </c>
      <c r="C22" s="35" t="n">
        <v>100</v>
      </c>
      <c r="D22" s="35" t="n">
        <v>59</v>
      </c>
      <c r="E22" s="35" t="n">
        <v>13.4</v>
      </c>
      <c r="F22" s="35" t="n">
        <v>0</v>
      </c>
      <c r="G22" s="35" t="n">
        <v>0.1</v>
      </c>
      <c r="H22" s="35" t="n">
        <v>0</v>
      </c>
      <c r="I22" s="30" t="inlineStr">
        <is>
          <t>TACO 4ª ed.; pelo nome</t>
        </is>
      </c>
      <c r="J22" s="30" t="inlineStr">
        <is>
          <t>Sem gema</t>
        </is>
      </c>
      <c r="K22" s="30" t="inlineStr">
        <is>
          <t>https://nepa.unicamp.br/wp-content/uploads/sites/27/2023/10/taco_4_edicao_ampliada_e_revisada.pdf</t>
        </is>
      </c>
      <c r="L22" s="18">
        <f>IF(A22="","",IF(AND(ISNUMBER(C22),C22&gt;0,COUNT(D22:H22)=5),"OK","Rever macros"))</f>
        <v/>
      </c>
      <c r="M22" s="18" t="n"/>
      <c r="O22" s="34" t="inlineStr">
        <is>
          <t>Referência cadastrada — não auditada nesta revisão</t>
        </is>
      </c>
    </row>
    <row r="23" ht="21.75" customHeight="1">
      <c r="A23" s="30" t="inlineStr">
        <is>
          <t>Merluza assada</t>
        </is>
      </c>
      <c r="B23" s="30" t="inlineStr">
        <is>
          <t>g</t>
        </is>
      </c>
      <c r="C23" s="35" t="n">
        <v>100</v>
      </c>
      <c r="D23" s="35" t="n">
        <v>122</v>
      </c>
      <c r="E23" s="35" t="n">
        <v>26.6</v>
      </c>
      <c r="F23" s="35" t="n">
        <v>0</v>
      </c>
      <c r="G23" s="35" t="n">
        <v>0.9</v>
      </c>
      <c r="H23" s="35" t="n">
        <v>0</v>
      </c>
      <c r="I23" s="30" t="inlineStr">
        <is>
          <t>TACO 4ª ed.; pelo nome</t>
        </is>
      </c>
      <c r="J23" s="30" t="inlineStr">
        <is>
          <t>Pesar pronta</t>
        </is>
      </c>
      <c r="K23" s="30" t="inlineStr">
        <is>
          <t>https://nepa.unicamp.br/wp-content/uploads/sites/27/2023/10/taco_4_edicao_ampliada_e_revisada.pdf</t>
        </is>
      </c>
      <c r="L23" s="18">
        <f>IF(A23="","",IF(AND(ISNUMBER(C23),C23&gt;0,COUNT(D23:H23)=5),"OK","Rever macros"))</f>
        <v/>
      </c>
      <c r="M23" s="18" t="n"/>
      <c r="O23" s="34" t="inlineStr">
        <is>
          <t>Referência cadastrada — não auditada nesta revisão</t>
        </is>
      </c>
    </row>
    <row r="24" ht="21.75" customHeight="1">
      <c r="A24" s="30" t="inlineStr">
        <is>
          <t>Feijão preto cozido</t>
        </is>
      </c>
      <c r="B24" s="30" t="inlineStr">
        <is>
          <t>g</t>
        </is>
      </c>
      <c r="C24" s="35" t="n">
        <v>100</v>
      </c>
      <c r="D24" s="35" t="n">
        <v>77</v>
      </c>
      <c r="E24" s="35" t="n">
        <v>4.5</v>
      </c>
      <c r="F24" s="35" t="n">
        <v>14</v>
      </c>
      <c r="G24" s="35" t="n">
        <v>0.5</v>
      </c>
      <c r="H24" s="35" t="n">
        <v>8.4</v>
      </c>
      <c r="I24" s="30" t="inlineStr">
        <is>
          <t>TACO 4ª ed.; pelo nome</t>
        </is>
      </c>
      <c r="J24" s="30" t="inlineStr">
        <is>
          <t>Caldo e grãos conforme preparo</t>
        </is>
      </c>
      <c r="K24" s="30" t="inlineStr">
        <is>
          <t>https://nepa.unicamp.br/wp-content/uploads/sites/27/2023/10/taco_4_edicao_ampliada_e_revisada.pdf</t>
        </is>
      </c>
      <c r="L24" s="18">
        <f>IF(A24="","",IF(AND(ISNUMBER(C24),C24&gt;0,COUNT(D24:H24)=5),"OK","Rever macros"))</f>
        <v/>
      </c>
      <c r="M24" s="18" t="n"/>
      <c r="O24" s="34" t="inlineStr">
        <is>
          <t>Referência cadastrada — não auditada nesta revisão</t>
        </is>
      </c>
    </row>
    <row r="25" ht="21.75" customHeight="1">
      <c r="A25" s="30" t="inlineStr">
        <is>
          <t>Lentilha cozida</t>
        </is>
      </c>
      <c r="B25" s="30" t="inlineStr">
        <is>
          <t>g</t>
        </is>
      </c>
      <c r="C25" s="35" t="n">
        <v>100</v>
      </c>
      <c r="D25" s="35" t="n">
        <v>93</v>
      </c>
      <c r="E25" s="35" t="n">
        <v>6.3</v>
      </c>
      <c r="F25" s="35" t="n">
        <v>16.3</v>
      </c>
      <c r="G25" s="35" t="n">
        <v>0.5</v>
      </c>
      <c r="H25" s="35" t="n">
        <v>7.9</v>
      </c>
      <c r="I25" s="30" t="inlineStr">
        <is>
          <t>TACO 4ª ed.; pelo nome</t>
        </is>
      </c>
      <c r="J25" s="30" t="inlineStr">
        <is>
          <t>Sem óleo</t>
        </is>
      </c>
      <c r="K25" s="30" t="inlineStr">
        <is>
          <t>https://nepa.unicamp.br/wp-content/uploads/sites/27/2023/10/taco_4_edicao_ampliada_e_revisada.pdf</t>
        </is>
      </c>
      <c r="L25" s="18">
        <f>IF(A25="","",IF(AND(ISNUMBER(C25),C25&gt;0,COUNT(D25:H25)=5),"OK","Rever macros"))</f>
        <v/>
      </c>
      <c r="M25" s="18" t="n"/>
      <c r="O25" s="34" t="inlineStr">
        <is>
          <t>Referência cadastrada — não auditada nesta revisão</t>
        </is>
      </c>
    </row>
    <row r="26" ht="21.75" customHeight="1">
      <c r="A26" s="30" t="inlineStr">
        <is>
          <t>Açúcar cristal</t>
        </is>
      </c>
      <c r="B26" s="30" t="inlineStr">
        <is>
          <t>g</t>
        </is>
      </c>
      <c r="C26" s="35" t="n">
        <v>100</v>
      </c>
      <c r="D26" s="35" t="n">
        <v>387</v>
      </c>
      <c r="E26" s="35" t="n">
        <v>0.3</v>
      </c>
      <c r="F26" s="35" t="n">
        <v>99.59999999999999</v>
      </c>
      <c r="G26" s="35" t="n">
        <v>0</v>
      </c>
      <c r="H26" s="35" t="n">
        <v>0</v>
      </c>
      <c r="I26" s="30" t="inlineStr">
        <is>
          <t>TACO 4ª ed.; pelo nome</t>
        </is>
      </c>
      <c r="J26" s="30" t="inlineStr">
        <is>
          <t>Registrar também no café</t>
        </is>
      </c>
      <c r="K26" s="30" t="inlineStr">
        <is>
          <t>https://nepa.unicamp.br/wp-content/uploads/sites/27/2023/10/taco_4_edicao_ampliada_e_revisada.pdf</t>
        </is>
      </c>
      <c r="L26" s="18">
        <f>IF(A26="","",IF(AND(ISNUMBER(C26),C26&gt;0,COUNT(D26:H26)=5),"OK","Rever macros"))</f>
        <v/>
      </c>
      <c r="M26" s="18" t="n"/>
      <c r="O26" s="34" t="inlineStr">
        <is>
          <t>Referência cadastrada — não auditada nesta revisão</t>
        </is>
      </c>
    </row>
    <row r="27" ht="21.75" customHeight="1">
      <c r="A27" s="30" t="inlineStr">
        <is>
          <t>Alface crua</t>
        </is>
      </c>
      <c r="B27" s="30" t="inlineStr">
        <is>
          <t>g</t>
        </is>
      </c>
      <c r="C27" s="35" t="n">
        <v>100</v>
      </c>
      <c r="D27" s="35" t="n">
        <v>11</v>
      </c>
      <c r="E27" s="35" t="n">
        <v>1.3</v>
      </c>
      <c r="F27" s="35" t="n">
        <v>1.7</v>
      </c>
      <c r="G27" s="35" t="n">
        <v>0.2</v>
      </c>
      <c r="H27" s="35" t="n">
        <v>1.8</v>
      </c>
      <c r="I27" s="30" t="inlineStr">
        <is>
          <t>Estimativa genérica</t>
        </is>
      </c>
      <c r="J27" s="30" t="inlineStr">
        <is>
          <t>Variedade e preparo podem mudar valores</t>
        </is>
      </c>
      <c r="K27" s="30" t="inlineStr">
        <is>
          <t>Conferir rótulo / estimativa</t>
        </is>
      </c>
      <c r="L27" s="18">
        <f>IF(A27="","",IF(AND(ISNUMBER(C27),C27&gt;0,COUNT(D27:H27)=5),"OK","Rever macros"))</f>
        <v/>
      </c>
      <c r="M27" s="18" t="n"/>
      <c r="O27" s="34" t="inlineStr">
        <is>
          <t>Estimativa — conferir rótulo</t>
        </is>
      </c>
    </row>
    <row r="28" ht="21.75" customHeight="1">
      <c r="A28" s="30" t="inlineStr">
        <is>
          <t>Margarina (estimativa)</t>
        </is>
      </c>
      <c r="B28" s="30" t="inlineStr">
        <is>
          <t>g</t>
        </is>
      </c>
      <c r="C28" s="35" t="n">
        <v>100</v>
      </c>
      <c r="D28" s="35" t="n">
        <v>720</v>
      </c>
      <c r="E28" s="35" t="n">
        <v>0</v>
      </c>
      <c r="F28" s="35" t="n">
        <v>0</v>
      </c>
      <c r="G28" s="35" t="n">
        <v>80</v>
      </c>
      <c r="H28" s="35" t="n">
        <v>0</v>
      </c>
      <c r="I28" s="30" t="inlineStr">
        <is>
          <t>Estimativa; conferir rótulo</t>
        </is>
      </c>
      <c r="J28" s="30" t="inlineStr">
        <is>
          <t>Peso usado no preparo</t>
        </is>
      </c>
      <c r="K28" s="30" t="inlineStr">
        <is>
          <t>Conferir rótulo</t>
        </is>
      </c>
      <c r="L28" s="18">
        <f>IF(A28="","",IF(AND(ISNUMBER(C28),C28&gt;0,COUNT(D28:H28)=5),"OK","Rever macros"))</f>
        <v/>
      </c>
      <c r="M28" s="18" t="n"/>
      <c r="O28" s="34" t="inlineStr">
        <is>
          <t>Estimativa — conferir rótulo</t>
        </is>
      </c>
    </row>
    <row r="29" ht="21.75" customHeight="1">
      <c r="A29" s="30" t="inlineStr">
        <is>
          <t>Milho de pipoca cru</t>
        </is>
      </c>
      <c r="B29" s="30" t="inlineStr">
        <is>
          <t>g</t>
        </is>
      </c>
      <c r="C29" s="35" t="n">
        <v>100</v>
      </c>
      <c r="D29" s="35" t="n">
        <v>353</v>
      </c>
      <c r="E29" s="35" t="n">
        <v>8.9</v>
      </c>
      <c r="F29" s="35" t="n">
        <v>70.3</v>
      </c>
      <c r="G29" s="35" t="n">
        <v>3.9</v>
      </c>
      <c r="H29" s="35" t="n">
        <v>12.1</v>
      </c>
      <c r="I29" s="30" t="inlineStr">
        <is>
          <t>TACO 4ª ed.; pelo nome</t>
        </is>
      </c>
      <c r="J29" s="30" t="inlineStr">
        <is>
          <t>Pesar antes de estourar; óleo separado</t>
        </is>
      </c>
      <c r="K29" s="30" t="inlineStr">
        <is>
          <t>https://nepa.unicamp.br/wp-content/uploads/sites/27/2023/10/taco_4_edicao_ampliada_e_revisada.pdf</t>
        </is>
      </c>
      <c r="L29" s="18">
        <f>IF(A29="","",IF(AND(ISNUMBER(C29),C29&gt;0,COUNT(D29:H29)=5),"OK","Rever macros"))</f>
        <v/>
      </c>
      <c r="M29" s="18" t="n"/>
      <c r="O29" s="34" t="inlineStr">
        <is>
          <t>Referência cadastrada — não auditada nesta revisão</t>
        </is>
      </c>
    </row>
    <row r="30" ht="21.75" customHeight="1">
      <c r="A30" s="30" t="inlineStr">
        <is>
          <t>Carne bovina patinho grelhado</t>
        </is>
      </c>
      <c r="B30" s="30" t="inlineStr">
        <is>
          <t>g</t>
        </is>
      </c>
      <c r="C30" s="35" t="n">
        <v>100</v>
      </c>
      <c r="D30" s="35" t="n">
        <v>219</v>
      </c>
      <c r="E30" s="35" t="n">
        <v>35.9</v>
      </c>
      <c r="F30" s="35" t="n">
        <v>0</v>
      </c>
      <c r="G30" s="35" t="n">
        <v>7.3</v>
      </c>
      <c r="H30" s="35" t="n">
        <v>0</v>
      </c>
      <c r="I30" s="30" t="inlineStr">
        <is>
          <t>TACO 4ª ed.; pelo nome</t>
        </is>
      </c>
      <c r="J30" s="30" t="inlineStr">
        <is>
          <t>Pesar pronto; sem óleo</t>
        </is>
      </c>
      <c r="K30" s="30" t="inlineStr">
        <is>
          <t>Tabela TACO Unicamp</t>
        </is>
      </c>
      <c r="L30" s="18">
        <f>IF(A30="","",IF(AND(ISNUMBER(C30),C30&gt;0,COUNT(D30:H30)=5),"OK","Rever macros"))</f>
        <v/>
      </c>
      <c r="M30" s="18" t="n"/>
      <c r="O30" s="34" t="inlineStr">
        <is>
          <t>Referência cadastrada — não auditada nesta revisão</t>
        </is>
      </c>
    </row>
    <row r="31" ht="21.75" customHeight="1">
      <c r="A31" s="30" t="inlineStr">
        <is>
          <t>Carne bovina miolo de alcatra grelhado</t>
        </is>
      </c>
      <c r="B31" s="30" t="inlineStr">
        <is>
          <t>g</t>
        </is>
      </c>
      <c r="C31" s="35" t="n">
        <v>100</v>
      </c>
      <c r="D31" s="35" t="n">
        <v>241</v>
      </c>
      <c r="E31" s="35" t="n">
        <v>31.9</v>
      </c>
      <c r="F31" s="35" t="n">
        <v>0</v>
      </c>
      <c r="G31" s="35" t="n">
        <v>11.6</v>
      </c>
      <c r="H31" s="35" t="n">
        <v>0</v>
      </c>
      <c r="I31" s="30" t="inlineStr">
        <is>
          <t>TACO 4ª ed.; pelo nome</t>
        </is>
      </c>
      <c r="J31" s="30" t="inlineStr">
        <is>
          <t>Pesar pronto; sem óleo</t>
        </is>
      </c>
      <c r="K31" s="30" t="inlineStr">
        <is>
          <t>Tabela TACO Unicamp</t>
        </is>
      </c>
      <c r="L31" s="18">
        <f>IF(A31="","",IF(AND(ISNUMBER(C31),C31&gt;0,COUNT(D31:H31)=5),"OK","Rever macros"))</f>
        <v/>
      </c>
      <c r="M31" s="18" t="n"/>
      <c r="O31" s="34" t="inlineStr">
        <is>
          <t>Referência cadastrada — não auditada nesta revisão</t>
        </is>
      </c>
    </row>
    <row r="32" ht="21.75" customHeight="1">
      <c r="A32" s="30" t="inlineStr">
        <is>
          <t>Carne bovina contrafilé grelhado</t>
        </is>
      </c>
      <c r="B32" s="30" t="inlineStr">
        <is>
          <t>g</t>
        </is>
      </c>
      <c r="C32" s="35" t="n">
        <v>100</v>
      </c>
      <c r="D32" s="35" t="n">
        <v>194</v>
      </c>
      <c r="E32" s="35" t="n">
        <v>35.9</v>
      </c>
      <c r="F32" s="35" t="n">
        <v>0</v>
      </c>
      <c r="G32" s="35" t="n">
        <v>4.5</v>
      </c>
      <c r="H32" s="35" t="n">
        <v>0</v>
      </c>
      <c r="I32" s="30" t="inlineStr">
        <is>
          <t>TACO 4ª ed.; pelo nome</t>
        </is>
      </c>
      <c r="J32" s="30" t="inlineStr">
        <is>
          <t>Pesar pronto; sem gordura aparente</t>
        </is>
      </c>
      <c r="K32" s="30" t="inlineStr">
        <is>
          <t>Tabela TACO Unicamp</t>
        </is>
      </c>
      <c r="L32" s="18">
        <f>IF(A32="","",IF(AND(ISNUMBER(C32),C32&gt;0,COUNT(D32:H32)=5),"OK","Rever macros"))</f>
        <v/>
      </c>
      <c r="M32" s="18" t="n"/>
      <c r="O32" s="34" t="inlineStr">
        <is>
          <t>Referência cadastrada — não auditada nesta revisão</t>
        </is>
      </c>
    </row>
    <row r="33" ht="21.75" customHeight="1">
      <c r="A33" s="30" t="inlineStr">
        <is>
          <t>Carne bovina filé mignon grelhado</t>
        </is>
      </c>
      <c r="B33" s="30" t="inlineStr">
        <is>
          <t>g</t>
        </is>
      </c>
      <c r="C33" s="35" t="n">
        <v>100</v>
      </c>
      <c r="D33" s="35" t="n">
        <v>220</v>
      </c>
      <c r="E33" s="35" t="n">
        <v>32.8</v>
      </c>
      <c r="F33" s="35" t="n">
        <v>0</v>
      </c>
      <c r="G33" s="35" t="n">
        <v>8.800000000000001</v>
      </c>
      <c r="H33" s="35" t="n">
        <v>0</v>
      </c>
      <c r="I33" s="30" t="inlineStr">
        <is>
          <t>TACO 4ª ed.; pelo nome</t>
        </is>
      </c>
      <c r="J33" s="30" t="inlineStr">
        <is>
          <t>Pesar pronto; sem óleo</t>
        </is>
      </c>
      <c r="K33" s="30" t="inlineStr">
        <is>
          <t>Tabela TACO Unicamp</t>
        </is>
      </c>
      <c r="L33" s="18">
        <f>IF(A33="","",IF(AND(ISNUMBER(C33),C33&gt;0,COUNT(D33:H33)=5),"OK","Rever macros"))</f>
        <v/>
      </c>
      <c r="M33" s="18" t="n"/>
      <c r="O33" s="34" t="inlineStr">
        <is>
          <t>Referência cadastrada — não auditada nesta revisão</t>
        </is>
      </c>
    </row>
    <row r="34" ht="21.75" customHeight="1">
      <c r="A34" s="30" t="inlineStr">
        <is>
          <t>Carne bovina músculo cozido</t>
        </is>
      </c>
      <c r="B34" s="30" t="inlineStr">
        <is>
          <t>g</t>
        </is>
      </c>
      <c r="C34" s="35" t="n">
        <v>100</v>
      </c>
      <c r="D34" s="35" t="n">
        <v>194</v>
      </c>
      <c r="E34" s="35" t="n">
        <v>31.2</v>
      </c>
      <c r="F34" s="35" t="n">
        <v>0</v>
      </c>
      <c r="G34" s="35" t="n">
        <v>6.7</v>
      </c>
      <c r="H34" s="35" t="n">
        <v>0</v>
      </c>
      <c r="I34" s="30" t="inlineStr">
        <is>
          <t>TACO 4ª ed.; pelo nome</t>
        </is>
      </c>
      <c r="J34" s="30" t="inlineStr">
        <is>
          <t>Pesar pronto; sem óleo</t>
        </is>
      </c>
      <c r="K34" s="30" t="inlineStr">
        <is>
          <t>Tabela TACO Unicamp</t>
        </is>
      </c>
      <c r="L34" s="18">
        <f>IF(A34="","",IF(AND(ISNUMBER(C34),C34&gt;0,COUNT(D34:H34)=5),"OK","Rever macros"))</f>
        <v/>
      </c>
      <c r="M34" s="18" t="n"/>
      <c r="O34" s="34" t="inlineStr">
        <is>
          <t>Referência cadastrada — não auditada nesta revisão</t>
        </is>
      </c>
    </row>
    <row r="35" ht="21.75" customHeight="1">
      <c r="A35" s="30" t="inlineStr">
        <is>
          <t>Carne bovina coxão mole cozido</t>
        </is>
      </c>
      <c r="B35" s="30" t="inlineStr">
        <is>
          <t>g</t>
        </is>
      </c>
      <c r="C35" s="35" t="n">
        <v>100</v>
      </c>
      <c r="D35" s="35" t="n">
        <v>219</v>
      </c>
      <c r="E35" s="35" t="n">
        <v>32.4</v>
      </c>
      <c r="F35" s="35" t="n">
        <v>0</v>
      </c>
      <c r="G35" s="35" t="n">
        <v>8.9</v>
      </c>
      <c r="H35" s="35" t="n">
        <v>0</v>
      </c>
      <c r="I35" s="30" t="inlineStr">
        <is>
          <t>TACO 4ª ed.; pelo nome</t>
        </is>
      </c>
      <c r="J35" s="30" t="inlineStr">
        <is>
          <t>Pesar pronto; sem óleo</t>
        </is>
      </c>
      <c r="K35" s="30" t="inlineStr">
        <is>
          <t>Tabela TACO Unicamp</t>
        </is>
      </c>
      <c r="L35" s="18">
        <f>IF(A35="","",IF(AND(ISNUMBER(C35),C35&gt;0,COUNT(D35:H35)=5),"OK","Rever macros"))</f>
        <v/>
      </c>
      <c r="M35" s="18" t="n"/>
      <c r="O35" s="34" t="inlineStr">
        <is>
          <t>Referência cadastrada — não auditada nesta revisão</t>
        </is>
      </c>
    </row>
    <row r="36" ht="21.75" customHeight="1">
      <c r="A36" s="30" t="inlineStr">
        <is>
          <t>Frango peito grelhado</t>
        </is>
      </c>
      <c r="B36" s="30" t="inlineStr">
        <is>
          <t>g</t>
        </is>
      </c>
      <c r="C36" s="35" t="n">
        <v>100</v>
      </c>
      <c r="D36" s="35" t="n">
        <v>159</v>
      </c>
      <c r="E36" s="35" t="n">
        <v>32</v>
      </c>
      <c r="F36" s="35" t="n">
        <v>0</v>
      </c>
      <c r="G36" s="35" t="n">
        <v>2.5</v>
      </c>
      <c r="H36" s="35" t="n">
        <v>0</v>
      </c>
      <c r="I36" s="30" t="inlineStr">
        <is>
          <t>TACO 4ª ed.; pelo nome</t>
        </is>
      </c>
      <c r="J36" s="30" t="inlineStr">
        <is>
          <t>Pesar pronto; sem óleo</t>
        </is>
      </c>
      <c r="K36" s="30" t="inlineStr">
        <is>
          <t>Tabela TACO Unicamp</t>
        </is>
      </c>
      <c r="L36" s="18">
        <f>IF(A36="","",IF(AND(ISNUMBER(C36),C36&gt;0,COUNT(D36:H36)=5),"OK","Rever macros"))</f>
        <v/>
      </c>
      <c r="M36" s="18" t="n"/>
      <c r="O36" s="34" t="inlineStr">
        <is>
          <t>Referência cadastrada — não auditada nesta revisão</t>
        </is>
      </c>
    </row>
    <row r="37" ht="21.75" customHeight="1">
      <c r="A37" s="30" t="inlineStr">
        <is>
          <t>Frango sobrecoxa sem pele cozida</t>
        </is>
      </c>
      <c r="B37" s="30" t="inlineStr">
        <is>
          <t>g</t>
        </is>
      </c>
      <c r="C37" s="35" t="n">
        <v>100</v>
      </c>
      <c r="D37" s="35" t="n">
        <v>167</v>
      </c>
      <c r="E37" s="35" t="n">
        <v>28.7</v>
      </c>
      <c r="F37" s="35" t="n">
        <v>0</v>
      </c>
      <c r="G37" s="35" t="n">
        <v>4.9</v>
      </c>
      <c r="H37" s="35" t="n">
        <v>0</v>
      </c>
      <c r="I37" s="30" t="inlineStr">
        <is>
          <t>TACO 4ª ed.; pelo nome</t>
        </is>
      </c>
      <c r="J37" s="30" t="inlineStr">
        <is>
          <t>Pesar pronta sem osso e sem pele</t>
        </is>
      </c>
      <c r="K37" s="30" t="inlineStr">
        <is>
          <t>Tabela TACO Unicamp</t>
        </is>
      </c>
      <c r="L37" s="18">
        <f>IF(A37="","",IF(AND(ISNUMBER(C37),C37&gt;0,COUNT(D37:H37)=5),"OK","Rever macros"))</f>
        <v/>
      </c>
      <c r="M37" s="18" t="n"/>
      <c r="O37" s="34" t="inlineStr">
        <is>
          <t>Referência cadastrada — não auditada nesta revisão</t>
        </is>
      </c>
    </row>
    <row r="38" ht="21.75" customHeight="1">
      <c r="A38" s="30" t="inlineStr">
        <is>
          <t>Frango coxa sem pele cozida</t>
        </is>
      </c>
      <c r="B38" s="30" t="inlineStr">
        <is>
          <t>g</t>
        </is>
      </c>
      <c r="C38" s="35" t="n">
        <v>100</v>
      </c>
      <c r="D38" s="35" t="n">
        <v>167</v>
      </c>
      <c r="E38" s="35" t="n">
        <v>26.9</v>
      </c>
      <c r="F38" s="35" t="n">
        <v>0</v>
      </c>
      <c r="G38" s="35" t="n">
        <v>5.8</v>
      </c>
      <c r="H38" s="35" t="n">
        <v>0</v>
      </c>
      <c r="I38" s="30" t="inlineStr">
        <is>
          <t>TACO 4ª ed.; pelo nome</t>
        </is>
      </c>
      <c r="J38" s="30" t="inlineStr">
        <is>
          <t>Pesar pronta sem osso e sem pele</t>
        </is>
      </c>
      <c r="K38" s="30" t="inlineStr">
        <is>
          <t>Tabela TACO Unicamp</t>
        </is>
      </c>
      <c r="L38" s="18">
        <f>IF(A38="","",IF(AND(ISNUMBER(C38),C38&gt;0,COUNT(D38:H38)=5),"OK","Rever macros"))</f>
        <v/>
      </c>
      <c r="M38" s="18" t="n"/>
      <c r="O38" s="34" t="inlineStr">
        <is>
          <t>Referência cadastrada — não auditada nesta revisão</t>
        </is>
      </c>
    </row>
    <row r="39" ht="21.75" customHeight="1">
      <c r="A39" s="30" t="inlineStr">
        <is>
          <t>Frango coração cozido</t>
        </is>
      </c>
      <c r="B39" s="30" t="inlineStr">
        <is>
          <t>g</t>
        </is>
      </c>
      <c r="C39" s="35" t="n">
        <v>100</v>
      </c>
      <c r="D39" s="35" t="n">
        <v>222</v>
      </c>
      <c r="E39" s="35" t="n">
        <v>22.3</v>
      </c>
      <c r="F39" s="35" t="n">
        <v>0.8</v>
      </c>
      <c r="G39" s="35" t="n">
        <v>14.1</v>
      </c>
      <c r="H39" s="35" t="n">
        <v>0</v>
      </c>
      <c r="I39" s="30" t="inlineStr">
        <is>
          <t>TACO 4ª ed.; pelo nome</t>
        </is>
      </c>
      <c r="J39" s="30" t="inlineStr">
        <is>
          <t>Pesar pronto; sem óleo</t>
        </is>
      </c>
      <c r="K39" s="30" t="inlineStr">
        <is>
          <t>Tabela TACO Unicamp</t>
        </is>
      </c>
      <c r="L39" s="18">
        <f>IF(A39="","",IF(AND(ISNUMBER(C39),C39&gt;0,COUNT(D39:H39)=5),"OK","Rever macros"))</f>
        <v/>
      </c>
      <c r="M39" s="18" t="n"/>
      <c r="O39" s="34" t="inlineStr">
        <is>
          <t>Referência cadastrada — não auditada nesta revisão</t>
        </is>
      </c>
    </row>
    <row r="40" ht="21.75" customHeight="1">
      <c r="A40" s="30" t="inlineStr">
        <is>
          <t>Lombo suíno assado</t>
        </is>
      </c>
      <c r="B40" s="30" t="inlineStr">
        <is>
          <t>g</t>
        </is>
      </c>
      <c r="C40" s="35" t="n">
        <v>100</v>
      </c>
      <c r="D40" s="35" t="n">
        <v>210</v>
      </c>
      <c r="E40" s="35" t="n">
        <v>35.7</v>
      </c>
      <c r="F40" s="35" t="n">
        <v>0</v>
      </c>
      <c r="G40" s="35" t="n">
        <v>6.4</v>
      </c>
      <c r="H40" s="35" t="n">
        <v>0</v>
      </c>
      <c r="I40" s="30" t="inlineStr">
        <is>
          <t>TACO 4ª ed.; pelo nome</t>
        </is>
      </c>
      <c r="J40" s="30" t="inlineStr">
        <is>
          <t>Pesar pronto; sem gordura aparente</t>
        </is>
      </c>
      <c r="K40" s="30" t="inlineStr">
        <is>
          <t>Tabela TACO Unicamp</t>
        </is>
      </c>
      <c r="L40" s="18">
        <f>IF(A40="","",IF(AND(ISNUMBER(C40),C40&gt;0,COUNT(D40:H40)=5),"OK","Rever macros"))</f>
        <v/>
      </c>
      <c r="M40" s="18" t="n"/>
      <c r="O40" s="34" t="inlineStr">
        <is>
          <t>Referência cadastrada — não auditada nesta revisão</t>
        </is>
      </c>
    </row>
    <row r="41" ht="21.75" customHeight="1">
      <c r="A41" s="30" t="inlineStr">
        <is>
          <t>Filé de tilápia grelhado</t>
        </is>
      </c>
      <c r="B41" s="30" t="inlineStr">
        <is>
          <t>g</t>
        </is>
      </c>
      <c r="C41" s="35" t="n">
        <v>100</v>
      </c>
      <c r="D41" s="35" t="n">
        <v>128</v>
      </c>
      <c r="E41" s="35" t="n">
        <v>26</v>
      </c>
      <c r="F41" s="35" t="n">
        <v>0</v>
      </c>
      <c r="G41" s="35" t="n">
        <v>2</v>
      </c>
      <c r="H41" s="35" t="n">
        <v>0</v>
      </c>
      <c r="I41" s="30" t="inlineStr">
        <is>
          <t>TACO 4ª ed.; pelo nome</t>
        </is>
      </c>
      <c r="J41" s="30" t="inlineStr">
        <is>
          <t>Pesar pronto; sem óleo</t>
        </is>
      </c>
      <c r="K41" s="30" t="inlineStr">
        <is>
          <t>Tabela TACO Unicamp</t>
        </is>
      </c>
      <c r="L41" s="18">
        <f>IF(A41="","",IF(AND(ISNUMBER(C41),C41&gt;0,COUNT(D41:H41)=5),"OK","Rever macros"))</f>
        <v/>
      </c>
      <c r="M41" s="18" t="n"/>
      <c r="O41" s="34" t="inlineStr">
        <is>
          <t>Referência cadastrada — não auditada nesta revisão</t>
        </is>
      </c>
    </row>
    <row r="42" ht="21.75" customHeight="1">
      <c r="A42" s="30" t="inlineStr">
        <is>
          <t>Salmão sem pele grelhado</t>
        </is>
      </c>
      <c r="B42" s="30" t="inlineStr">
        <is>
          <t>g</t>
        </is>
      </c>
      <c r="C42" s="35" t="n">
        <v>100</v>
      </c>
      <c r="D42" s="35" t="n">
        <v>243</v>
      </c>
      <c r="E42" s="35" t="n">
        <v>26.1</v>
      </c>
      <c r="F42" s="35" t="n">
        <v>0</v>
      </c>
      <c r="G42" s="35" t="n">
        <v>14.5</v>
      </c>
      <c r="H42" s="35" t="n">
        <v>0</v>
      </c>
      <c r="I42" s="30" t="inlineStr">
        <is>
          <t>TACO 4ª ed.; pelo nome</t>
        </is>
      </c>
      <c r="J42" s="30" t="inlineStr">
        <is>
          <t>Pesar pronto sem pele</t>
        </is>
      </c>
      <c r="K42" s="30" t="inlineStr">
        <is>
          <t>Tabela TACO Unicamp</t>
        </is>
      </c>
      <c r="L42" s="18">
        <f>IF(A42="","",IF(AND(ISNUMBER(C42),C42&gt;0,COUNT(D42:H42)=5),"OK","Rever macros"))</f>
        <v/>
      </c>
      <c r="M42" s="18" t="n"/>
      <c r="O42" s="34" t="inlineStr">
        <is>
          <t>Referência cadastrada — não auditada nesta revisão</t>
        </is>
      </c>
    </row>
    <row r="43" ht="21.75" customHeight="1">
      <c r="A43" s="30" t="inlineStr">
        <is>
          <t>Atum sólido em conserva em óleo</t>
        </is>
      </c>
      <c r="B43" s="30" t="inlineStr">
        <is>
          <t>g</t>
        </is>
      </c>
      <c r="C43" s="35" t="n">
        <v>100</v>
      </c>
      <c r="D43" s="35" t="n">
        <v>166</v>
      </c>
      <c r="E43" s="35" t="n">
        <v>26.2</v>
      </c>
      <c r="F43" s="35" t="n">
        <v>0</v>
      </c>
      <c r="G43" s="35" t="n">
        <v>6</v>
      </c>
      <c r="H43" s="35" t="n">
        <v>0</v>
      </c>
      <c r="I43" s="30" t="inlineStr">
        <is>
          <t>TACO 4ª ed.; pelo nome</t>
        </is>
      </c>
      <c r="J43" s="30" t="inlineStr">
        <is>
          <t>Pesar escorrido</t>
        </is>
      </c>
      <c r="K43" s="30" t="inlineStr">
        <is>
          <t>Tabela TACO Unicamp</t>
        </is>
      </c>
      <c r="L43" s="18">
        <f>IF(A43="","",IF(AND(ISNUMBER(C43),C43&gt;0,COUNT(D43:H43)=5),"OK","Rever macros"))</f>
        <v/>
      </c>
      <c r="M43" s="18" t="n"/>
      <c r="O43" s="34" t="inlineStr">
        <is>
          <t>Referência cadastrada — não auditada nesta revisão</t>
        </is>
      </c>
    </row>
    <row r="44" ht="21.75" customHeight="1">
      <c r="A44" s="30" t="inlineStr">
        <is>
          <t>Atum ralado em conserva em água</t>
        </is>
      </c>
      <c r="B44" s="30" t="inlineStr">
        <is>
          <t>g</t>
        </is>
      </c>
      <c r="C44" s="35" t="n">
        <v>100</v>
      </c>
      <c r="D44" s="35" t="n">
        <v>116</v>
      </c>
      <c r="E44" s="35" t="n">
        <v>25.5</v>
      </c>
      <c r="F44" s="35" t="n">
        <v>0</v>
      </c>
      <c r="G44" s="35" t="n">
        <v>0.8</v>
      </c>
      <c r="H44" s="35" t="n">
        <v>0</v>
      </c>
      <c r="I44" s="30" t="inlineStr">
        <is>
          <t>Estimativa genérica</t>
        </is>
      </c>
      <c r="J44" s="30" t="inlineStr">
        <is>
          <t>Pesar escorrido</t>
        </is>
      </c>
      <c r="K44" s="30" t="inlineStr">
        <is>
          <t>Conferir rótulo / estimativa</t>
        </is>
      </c>
      <c r="L44" s="18">
        <f>IF(A44="","",IF(AND(ISNUMBER(C44),C44&gt;0,COUNT(D44:H44)=5),"OK","Rever macros"))</f>
        <v/>
      </c>
      <c r="M44" s="18" t="n"/>
      <c r="O44" s="34" t="inlineStr">
        <is>
          <t>Estimativa — conferir rótulo</t>
        </is>
      </c>
    </row>
    <row r="45" ht="21.75" customHeight="1">
      <c r="A45" s="30" t="inlineStr">
        <is>
          <t>Sardinha em conserva com óleo</t>
        </is>
      </c>
      <c r="B45" s="30" t="inlineStr">
        <is>
          <t>g</t>
        </is>
      </c>
      <c r="C45" s="35" t="n">
        <v>100</v>
      </c>
      <c r="D45" s="35" t="n">
        <v>285</v>
      </c>
      <c r="E45" s="35" t="n">
        <v>15.9</v>
      </c>
      <c r="F45" s="35" t="n">
        <v>0</v>
      </c>
      <c r="G45" s="35" t="n">
        <v>24</v>
      </c>
      <c r="H45" s="35" t="n">
        <v>0</v>
      </c>
      <c r="I45" s="30" t="inlineStr">
        <is>
          <t>TACO 4ª ed.; pelo nome</t>
        </is>
      </c>
      <c r="J45" s="30" t="inlineStr">
        <is>
          <t>Pesar escorrida</t>
        </is>
      </c>
      <c r="K45" s="30" t="inlineStr">
        <is>
          <t>Tabela TACO Unicamp</t>
        </is>
      </c>
      <c r="L45" s="18">
        <f>IF(A45="","",IF(AND(ISNUMBER(C45),C45&gt;0,COUNT(D45:H45)=5),"OK","Rever macros"))</f>
        <v/>
      </c>
      <c r="M45" s="18" t="n"/>
      <c r="O45" s="34" t="inlineStr">
        <is>
          <t>Referência cadastrada — não auditada nesta revisão</t>
        </is>
      </c>
    </row>
    <row r="46" ht="21.75" customHeight="1">
      <c r="A46" s="30" t="inlineStr">
        <is>
          <t>Camarão cozido</t>
        </is>
      </c>
      <c r="B46" s="30" t="inlineStr">
        <is>
          <t>g</t>
        </is>
      </c>
      <c r="C46" s="35" t="n">
        <v>100</v>
      </c>
      <c r="D46" s="35" t="n">
        <v>90</v>
      </c>
      <c r="E46" s="35" t="n">
        <v>19</v>
      </c>
      <c r="F46" s="35" t="n">
        <v>0</v>
      </c>
      <c r="G46" s="35" t="n">
        <v>1</v>
      </c>
      <c r="H46" s="35" t="n">
        <v>0</v>
      </c>
      <c r="I46" s="30" t="inlineStr">
        <is>
          <t>TACO 4ª ed.; pelo nome</t>
        </is>
      </c>
      <c r="J46" s="30" t="inlineStr">
        <is>
          <t>Pesar limpo cozido</t>
        </is>
      </c>
      <c r="K46" s="30" t="inlineStr">
        <is>
          <t>Tabela TACO Unicamp</t>
        </is>
      </c>
      <c r="L46" s="18">
        <f>IF(A46="","",IF(AND(ISNUMBER(C46),C46&gt;0,COUNT(D46:H46)=5),"OK","Rever macros"))</f>
        <v/>
      </c>
      <c r="M46" s="18" t="n"/>
      <c r="O46" s="34" t="inlineStr">
        <is>
          <t>Referência cadastrada — não auditada nesta revisão</t>
        </is>
      </c>
    </row>
    <row r="47" ht="21.75" customHeight="1">
      <c r="A47" s="30" t="inlineStr">
        <is>
          <t>Leite desnatado</t>
        </is>
      </c>
      <c r="B47" s="30" t="inlineStr">
        <is>
          <t>ml</t>
        </is>
      </c>
      <c r="C47" s="35" t="n">
        <v>100</v>
      </c>
      <c r="D47" s="35" t="n">
        <v>35</v>
      </c>
      <c r="E47" s="35" t="n">
        <v>3</v>
      </c>
      <c r="F47" s="35" t="n">
        <v>4.7</v>
      </c>
      <c r="G47" s="35" t="n">
        <v>0.2</v>
      </c>
      <c r="H47" s="35" t="n">
        <v>0</v>
      </c>
      <c r="I47" s="30" t="inlineStr">
        <is>
          <t>TACO 4ª ed.; pelo nome</t>
        </is>
      </c>
      <c r="J47" s="30" t="inlineStr">
        <is>
          <t>Medir em ml; massa em g exige densidade específica.</t>
        </is>
      </c>
      <c r="K47" s="30" t="inlineStr">
        <is>
          <t>Tabela TACO Unicamp</t>
        </is>
      </c>
      <c r="L47" s="18">
        <f>IF(A47="","",IF(AND(ISNUMBER(C47),C47&gt;0,COUNT(D47:H47)=5),"OK","Rever macros"))</f>
        <v/>
      </c>
      <c r="M47" s="18" t="n"/>
      <c r="O47" s="34" t="inlineStr">
        <is>
          <t>Referência cadastrada — não auditada nesta revisão</t>
        </is>
      </c>
    </row>
    <row r="48" ht="21.75" customHeight="1">
      <c r="A48" s="30" t="inlineStr">
        <is>
          <t>Leite semidesnatado</t>
        </is>
      </c>
      <c r="B48" s="30" t="inlineStr">
        <is>
          <t>ml</t>
        </is>
      </c>
      <c r="C48" s="35" t="n">
        <v>100</v>
      </c>
      <c r="D48" s="35" t="n">
        <v>45</v>
      </c>
      <c r="E48" s="35" t="n">
        <v>3.1</v>
      </c>
      <c r="F48" s="35" t="n">
        <v>4.8</v>
      </c>
      <c r="G48" s="35" t="n">
        <v>1.2</v>
      </c>
      <c r="H48" s="35" t="n">
        <v>0</v>
      </c>
      <c r="I48" s="30" t="inlineStr">
        <is>
          <t>Estimativa genérica</t>
        </is>
      </c>
      <c r="J48" s="30" t="inlineStr">
        <is>
          <t>Medir em ml; massa em g exige densidade específica.</t>
        </is>
      </c>
      <c r="K48" s="30" t="inlineStr">
        <is>
          <t>Conferir rótulo / estimativa</t>
        </is>
      </c>
      <c r="L48" s="18">
        <f>IF(A48="","",IF(AND(ISNUMBER(C48),C48&gt;0,COUNT(D48:H48)=5),"OK","Rever macros"))</f>
        <v/>
      </c>
      <c r="M48" s="18" t="n"/>
      <c r="O48" s="34" t="inlineStr">
        <is>
          <t>Estimativa — conferir rótulo</t>
        </is>
      </c>
    </row>
    <row r="49" ht="21.75" customHeight="1">
      <c r="A49" s="30" t="inlineStr">
        <is>
          <t>Queijo cottage</t>
        </is>
      </c>
      <c r="B49" s="30" t="inlineStr">
        <is>
          <t>g</t>
        </is>
      </c>
      <c r="C49" s="35" t="n">
        <v>100</v>
      </c>
      <c r="D49" s="35" t="n">
        <v>98</v>
      </c>
      <c r="E49" s="35" t="n">
        <v>11.1</v>
      </c>
      <c r="F49" s="35" t="n">
        <v>3.4</v>
      </c>
      <c r="G49" s="35" t="n">
        <v>4.3</v>
      </c>
      <c r="H49" s="35" t="n">
        <v>0</v>
      </c>
      <c r="I49" s="30" t="inlineStr">
        <is>
          <t>Estimativa genérica</t>
        </is>
      </c>
      <c r="J49" s="30" t="inlineStr">
        <is>
          <t>Pesar porção</t>
        </is>
      </c>
      <c r="K49" s="30" t="inlineStr">
        <is>
          <t>Conferir rótulo / estimativa</t>
        </is>
      </c>
      <c r="L49" s="18">
        <f>IF(A49="","",IF(AND(ISNUMBER(C49),C49&gt;0,COUNT(D49:H49)=5),"OK","Rever macros"))</f>
        <v/>
      </c>
      <c r="M49" s="18" t="n"/>
      <c r="O49" s="34" t="inlineStr">
        <is>
          <t>Estimativa — conferir rótulo</t>
        </is>
      </c>
    </row>
    <row r="50" ht="21.75" customHeight="1">
      <c r="A50" s="30" t="inlineStr">
        <is>
          <t>Queijo ricota</t>
        </is>
      </c>
      <c r="B50" s="30" t="inlineStr">
        <is>
          <t>g</t>
        </is>
      </c>
      <c r="C50" s="35" t="n">
        <v>100</v>
      </c>
      <c r="D50" s="35" t="n">
        <v>140</v>
      </c>
      <c r="E50" s="35" t="n">
        <v>12.6</v>
      </c>
      <c r="F50" s="35" t="n">
        <v>3.8</v>
      </c>
      <c r="G50" s="35" t="n">
        <v>8.1</v>
      </c>
      <c r="H50" s="35" t="n">
        <v>0</v>
      </c>
      <c r="I50" s="30" t="inlineStr">
        <is>
          <t>TACO 4ª ed.; pelo nome</t>
        </is>
      </c>
      <c r="J50" s="30" t="inlineStr">
        <is>
          <t>Pesar porção</t>
        </is>
      </c>
      <c r="K50" s="30" t="inlineStr">
        <is>
          <t>Tabela TACO Unicamp</t>
        </is>
      </c>
      <c r="L50" s="18">
        <f>IF(A50="","",IF(AND(ISNUMBER(C50),C50&gt;0,COUNT(D50:H50)=5),"OK","Rever macros"))</f>
        <v/>
      </c>
      <c r="M50" s="18" t="n"/>
      <c r="O50" s="34" t="inlineStr">
        <is>
          <t>Referência cadastrada — não auditada nesta revisão</t>
        </is>
      </c>
    </row>
    <row r="51" ht="21.75" customHeight="1">
      <c r="A51" s="30" t="inlineStr">
        <is>
          <t>Queijo muçarela</t>
        </is>
      </c>
      <c r="B51" s="30" t="inlineStr">
        <is>
          <t>g</t>
        </is>
      </c>
      <c r="C51" s="35" t="n">
        <v>100</v>
      </c>
      <c r="D51" s="35" t="n">
        <v>281</v>
      </c>
      <c r="E51" s="35" t="n">
        <v>22.6</v>
      </c>
      <c r="F51" s="35" t="n">
        <v>3</v>
      </c>
      <c r="G51" s="35" t="n">
        <v>20</v>
      </c>
      <c r="H51" s="35" t="n">
        <v>0</v>
      </c>
      <c r="I51" s="30" t="inlineStr">
        <is>
          <t>TACO 4ª ed.; pelo nome</t>
        </is>
      </c>
      <c r="J51" s="30" t="inlineStr">
        <is>
          <t>Pesar fatias</t>
        </is>
      </c>
      <c r="K51" s="30" t="inlineStr">
        <is>
          <t>Tabela TACO Unicamp</t>
        </is>
      </c>
      <c r="L51" s="18">
        <f>IF(A51="","",IF(AND(ISNUMBER(C51),C51&gt;0,COUNT(D51:H51)=5),"OK","Rever macros"))</f>
        <v/>
      </c>
      <c r="M51" s="18" t="n"/>
      <c r="O51" s="34" t="inlineStr">
        <is>
          <t>Referência cadastrada — não auditada nesta revisão</t>
        </is>
      </c>
    </row>
    <row r="52" ht="21.75" customHeight="1">
      <c r="A52" s="30" t="inlineStr">
        <is>
          <t>Queijo prato</t>
        </is>
      </c>
      <c r="B52" s="30" t="inlineStr">
        <is>
          <t>g</t>
        </is>
      </c>
      <c r="C52" s="35" t="n">
        <v>100</v>
      </c>
      <c r="D52" s="35" t="n">
        <v>360</v>
      </c>
      <c r="E52" s="35" t="n">
        <v>22.7</v>
      </c>
      <c r="F52" s="35" t="n">
        <v>1.9</v>
      </c>
      <c r="G52" s="35" t="n">
        <v>29.1</v>
      </c>
      <c r="H52" s="35" t="n">
        <v>0</v>
      </c>
      <c r="I52" s="30" t="inlineStr">
        <is>
          <t>TACO 4ª ed.; pelo nome</t>
        </is>
      </c>
      <c r="J52" s="30" t="inlineStr">
        <is>
          <t>Pesar fatias</t>
        </is>
      </c>
      <c r="K52" s="30" t="inlineStr">
        <is>
          <t>Tabela TACO Unicamp</t>
        </is>
      </c>
      <c r="L52" s="18">
        <f>IF(A52="","",IF(AND(ISNUMBER(C52),C52&gt;0,COUNT(D52:H52)=5),"OK","Rever macros"))</f>
        <v/>
      </c>
      <c r="M52" s="18" t="n"/>
      <c r="O52" s="34" t="inlineStr">
        <is>
          <t>Referência cadastrada — não auditada nesta revisão</t>
        </is>
      </c>
    </row>
    <row r="53" ht="21.75" customHeight="1">
      <c r="A53" s="30" t="inlineStr">
        <is>
          <t>Queijo parmesão ralado</t>
        </is>
      </c>
      <c r="B53" s="30" t="inlineStr">
        <is>
          <t>g</t>
        </is>
      </c>
      <c r="C53" s="35" t="n">
        <v>100</v>
      </c>
      <c r="D53" s="35" t="n">
        <v>453</v>
      </c>
      <c r="E53" s="35" t="n">
        <v>35.6</v>
      </c>
      <c r="F53" s="35" t="n">
        <v>1.7</v>
      </c>
      <c r="G53" s="35" t="n">
        <v>33.5</v>
      </c>
      <c r="H53" s="35" t="n">
        <v>0</v>
      </c>
      <c r="I53" s="30" t="inlineStr">
        <is>
          <t>TACO 4ª ed.; pelo nome</t>
        </is>
      </c>
      <c r="J53" s="30" t="inlineStr">
        <is>
          <t>Pesar porção</t>
        </is>
      </c>
      <c r="K53" s="30" t="inlineStr">
        <is>
          <t>Tabela TACO Unicamp</t>
        </is>
      </c>
      <c r="L53" s="18">
        <f>IF(A53="","",IF(AND(ISNUMBER(C53),C53&gt;0,COUNT(D53:H53)=5),"OK","Rever macros"))</f>
        <v/>
      </c>
      <c r="M53" s="18" t="n"/>
      <c r="O53" s="34" t="inlineStr">
        <is>
          <t>Referência cadastrada — não auditada nesta revisão</t>
        </is>
      </c>
    </row>
    <row r="54" ht="21.75" customHeight="1">
      <c r="A54" s="30" t="inlineStr">
        <is>
          <t>Requeijão cremoso tradicional</t>
        </is>
      </c>
      <c r="B54" s="30" t="inlineStr">
        <is>
          <t>g</t>
        </is>
      </c>
      <c r="C54" s="35" t="n">
        <v>100</v>
      </c>
      <c r="D54" s="35" t="n">
        <v>257</v>
      </c>
      <c r="E54" s="35" t="n">
        <v>9.6</v>
      </c>
      <c r="F54" s="35" t="n">
        <v>2.4</v>
      </c>
      <c r="G54" s="35" t="n">
        <v>23.4</v>
      </c>
      <c r="H54" s="35" t="n">
        <v>0</v>
      </c>
      <c r="I54" s="30" t="inlineStr">
        <is>
          <t>TACO 4ª ed.; pelo nome</t>
        </is>
      </c>
      <c r="J54" s="30" t="inlineStr">
        <is>
          <t>Pesar colher</t>
        </is>
      </c>
      <c r="K54" s="30" t="inlineStr">
        <is>
          <t>Tabela TACO Unicamp</t>
        </is>
      </c>
      <c r="L54" s="18">
        <f>IF(A54="","",IF(AND(ISNUMBER(C54),C54&gt;0,COUNT(D54:H54)=5),"OK","Rever macros"))</f>
        <v/>
      </c>
      <c r="M54" s="18" t="n"/>
      <c r="O54" s="34" t="inlineStr">
        <is>
          <t>Referência cadastrada — não auditada nesta revisão</t>
        </is>
      </c>
    </row>
    <row r="55" ht="21.75" customHeight="1">
      <c r="A55" s="30" t="inlineStr">
        <is>
          <t>Iogurte natural desnatado</t>
        </is>
      </c>
      <c r="B55" s="30" t="inlineStr">
        <is>
          <t>g</t>
        </is>
      </c>
      <c r="C55" s="35" t="n">
        <v>100</v>
      </c>
      <c r="D55" s="35" t="n">
        <v>41</v>
      </c>
      <c r="E55" s="35" t="n">
        <v>3.8</v>
      </c>
      <c r="F55" s="35" t="n">
        <v>5.8</v>
      </c>
      <c r="G55" s="35" t="n">
        <v>0.3</v>
      </c>
      <c r="H55" s="35" t="n">
        <v>0</v>
      </c>
      <c r="I55" s="30" t="inlineStr">
        <is>
          <t>TACO 4ª ed.; pelo nome</t>
        </is>
      </c>
      <c r="J55" s="30" t="inlineStr">
        <is>
          <t>Pesar porção</t>
        </is>
      </c>
      <c r="K55" s="30" t="inlineStr">
        <is>
          <t>Tabela TACO Unicamp</t>
        </is>
      </c>
      <c r="L55" s="18">
        <f>IF(A55="","",IF(AND(ISNUMBER(C55),C55&gt;0,COUNT(D55:H55)=5),"OK","Rever macros"))</f>
        <v/>
      </c>
      <c r="M55" s="18" t="n"/>
      <c r="O55" s="34" t="inlineStr">
        <is>
          <t>Referência cadastrada — não auditada nesta revisão</t>
        </is>
      </c>
    </row>
    <row r="56" ht="21.75" customHeight="1">
      <c r="A56" s="30" t="inlineStr">
        <is>
          <t>Iogurte grego tradicional</t>
        </is>
      </c>
      <c r="B56" s="30" t="inlineStr">
        <is>
          <t>g</t>
        </is>
      </c>
      <c r="C56" s="35" t="n">
        <v>100</v>
      </c>
      <c r="D56" s="35" t="n">
        <v>113</v>
      </c>
      <c r="E56" s="35" t="n">
        <v>6.4</v>
      </c>
      <c r="F56" s="35" t="n">
        <v>8.199999999999999</v>
      </c>
      <c r="G56" s="35" t="n">
        <v>6</v>
      </c>
      <c r="H56" s="35" t="n">
        <v>0</v>
      </c>
      <c r="I56" s="30" t="inlineStr">
        <is>
          <t>Estimativa genérica</t>
        </is>
      </c>
      <c r="J56" s="30" t="inlineStr">
        <is>
          <t>Pesar pote ou porção</t>
        </is>
      </c>
      <c r="K56" s="30" t="inlineStr">
        <is>
          <t>Conferir rótulo / estimativa</t>
        </is>
      </c>
      <c r="L56" s="18">
        <f>IF(A56="","",IF(AND(ISNUMBER(C56),C56&gt;0,COUNT(D56:H56)=5),"OK","Rever macros"))</f>
        <v/>
      </c>
      <c r="M56" s="18" t="n"/>
      <c r="O56" s="34" t="inlineStr">
        <is>
          <t>Estimativa — conferir rótulo</t>
        </is>
      </c>
    </row>
    <row r="57" ht="21.75" customHeight="1">
      <c r="A57" s="30" t="inlineStr">
        <is>
          <t>Arroz integral cozido</t>
        </is>
      </c>
      <c r="B57" s="30" t="inlineStr">
        <is>
          <t>g</t>
        </is>
      </c>
      <c r="C57" s="35" t="n">
        <v>100</v>
      </c>
      <c r="D57" s="35" t="n">
        <v>124</v>
      </c>
      <c r="E57" s="35" t="n">
        <v>2.6</v>
      </c>
      <c r="F57" s="35" t="n">
        <v>25.8</v>
      </c>
      <c r="G57" s="35" t="n">
        <v>1</v>
      </c>
      <c r="H57" s="35" t="n">
        <v>2.7</v>
      </c>
      <c r="I57" s="30" t="inlineStr">
        <is>
          <t>TACO 4ª ed.; pelo nome</t>
        </is>
      </c>
      <c r="J57" s="30" t="inlineStr">
        <is>
          <t>Pesar pronto; sem óleo</t>
        </is>
      </c>
      <c r="K57" s="30" t="inlineStr">
        <is>
          <t>Tabela TACO Unicamp</t>
        </is>
      </c>
      <c r="L57" s="18">
        <f>IF(A57="","",IF(AND(ISNUMBER(C57),C57&gt;0,COUNT(D57:H57)=5),"OK","Rever macros"))</f>
        <v/>
      </c>
      <c r="M57" s="18" t="n"/>
      <c r="O57" s="34" t="inlineStr">
        <is>
          <t>Referência cadastrada — não auditada nesta revisão</t>
        </is>
      </c>
    </row>
    <row r="58" ht="21.75" customHeight="1">
      <c r="A58" s="30" t="inlineStr">
        <is>
          <t>Mandioca cozida</t>
        </is>
      </c>
      <c r="B58" s="30" t="inlineStr">
        <is>
          <t>g</t>
        </is>
      </c>
      <c r="C58" s="35" t="n">
        <v>100</v>
      </c>
      <c r="D58" s="35" t="n">
        <v>125</v>
      </c>
      <c r="E58" s="35" t="n">
        <v>0.6</v>
      </c>
      <c r="F58" s="35" t="n">
        <v>30.1</v>
      </c>
      <c r="G58" s="35" t="n">
        <v>0.3</v>
      </c>
      <c r="H58" s="35" t="n">
        <v>1.6</v>
      </c>
      <c r="I58" s="30" t="inlineStr">
        <is>
          <t>TACO 4ª ed.; pelo nome</t>
        </is>
      </c>
      <c r="J58" s="30" t="inlineStr">
        <is>
          <t>Pesar cozida sem óleo</t>
        </is>
      </c>
      <c r="K58" s="30" t="inlineStr">
        <is>
          <t>Tabela TACO Unicamp</t>
        </is>
      </c>
      <c r="L58" s="18">
        <f>IF(A58="","",IF(AND(ISNUMBER(C58),C58&gt;0,COUNT(D58:H58)=5),"OK","Rever macros"))</f>
        <v/>
      </c>
      <c r="M58" s="18" t="n"/>
      <c r="O58" s="34" t="inlineStr">
        <is>
          <t>Referência cadastrada — não auditada nesta revisão</t>
        </is>
      </c>
    </row>
    <row r="59" ht="21.75" customHeight="1">
      <c r="A59" s="30" t="inlineStr">
        <is>
          <t>Mandioquinha cozida</t>
        </is>
      </c>
      <c r="B59" s="30" t="inlineStr">
        <is>
          <t>g</t>
        </is>
      </c>
      <c r="C59" s="35" t="n">
        <v>100</v>
      </c>
      <c r="D59" s="35" t="n">
        <v>80</v>
      </c>
      <c r="E59" s="35" t="n">
        <v>0.9</v>
      </c>
      <c r="F59" s="35" t="n">
        <v>18.9</v>
      </c>
      <c r="G59" s="35" t="n">
        <v>0.2</v>
      </c>
      <c r="H59" s="35" t="n">
        <v>1.8</v>
      </c>
      <c r="I59" s="30" t="inlineStr">
        <is>
          <t>TACO 4ª ed.; pelo nome</t>
        </is>
      </c>
      <c r="J59" s="30" t="inlineStr">
        <is>
          <t>Pesar cozida sem óleo</t>
        </is>
      </c>
      <c r="K59" s="30" t="inlineStr">
        <is>
          <t>Tabela TACO Unicamp</t>
        </is>
      </c>
      <c r="L59" s="18">
        <f>IF(A59="","",IF(AND(ISNUMBER(C59),C59&gt;0,COUNT(D59:H59)=5),"OK","Rever macros"))</f>
        <v/>
      </c>
      <c r="M59" s="18" t="n"/>
      <c r="O59" s="34" t="inlineStr">
        <is>
          <t>Referência cadastrada — não auditada nesta revisão</t>
        </is>
      </c>
    </row>
    <row r="60" ht="21.75" customHeight="1">
      <c r="A60" s="30" t="inlineStr">
        <is>
          <t>Macarrão de sêmola cozido</t>
        </is>
      </c>
      <c r="B60" s="30" t="inlineStr">
        <is>
          <t>g</t>
        </is>
      </c>
      <c r="C60" s="35" t="n">
        <v>100</v>
      </c>
      <c r="D60" s="35" t="n">
        <v>102</v>
      </c>
      <c r="E60" s="35" t="n">
        <v>3.4</v>
      </c>
      <c r="F60" s="35" t="n">
        <v>21</v>
      </c>
      <c r="G60" s="35" t="n">
        <v>0.4</v>
      </c>
      <c r="H60" s="35" t="n">
        <v>1.4</v>
      </c>
      <c r="I60" s="30" t="inlineStr">
        <is>
          <t>TACO 4ª ed.; pelo nome</t>
        </is>
      </c>
      <c r="J60" s="30" t="inlineStr">
        <is>
          <t>Pesar cozido; molho à parte</t>
        </is>
      </c>
      <c r="K60" s="30" t="inlineStr">
        <is>
          <t>Tabela TACO Unicamp</t>
        </is>
      </c>
      <c r="L60" s="18">
        <f>IF(A60="","",IF(AND(ISNUMBER(C60),C60&gt;0,COUNT(D60:H60)=5),"OK","Rever macros"))</f>
        <v/>
      </c>
      <c r="M60" s="18" t="n"/>
      <c r="O60" s="34" t="inlineStr">
        <is>
          <t>Referência cadastrada — não auditada nesta revisão</t>
        </is>
      </c>
    </row>
    <row r="61" ht="21.75" customHeight="1">
      <c r="A61" s="30" t="inlineStr">
        <is>
          <t>Macarrão integral cozido</t>
        </is>
      </c>
      <c r="B61" s="30" t="inlineStr">
        <is>
          <t>g</t>
        </is>
      </c>
      <c r="C61" s="35" t="n">
        <v>100</v>
      </c>
      <c r="D61" s="35" t="n">
        <v>124</v>
      </c>
      <c r="E61" s="35" t="n">
        <v>5.3</v>
      </c>
      <c r="F61" s="35" t="n">
        <v>26.5</v>
      </c>
      <c r="G61" s="35" t="n">
        <v>0.5</v>
      </c>
      <c r="H61" s="35" t="n">
        <v>3.9</v>
      </c>
      <c r="I61" s="30" t="inlineStr">
        <is>
          <t>Estimativa genérica</t>
        </is>
      </c>
      <c r="J61" s="30" t="inlineStr">
        <is>
          <t>Pesar cozido; molho à parte</t>
        </is>
      </c>
      <c r="K61" s="30" t="inlineStr">
        <is>
          <t>Conferir rótulo / estimativa</t>
        </is>
      </c>
      <c r="L61" s="18">
        <f>IF(A61="","",IF(AND(ISNUMBER(C61),C61&gt;0,COUNT(D61:H61)=5),"OK","Rever macros"))</f>
        <v/>
      </c>
      <c r="M61" s="18" t="n"/>
      <c r="O61" s="34" t="inlineStr">
        <is>
          <t>Estimativa — conferir rótulo</t>
        </is>
      </c>
    </row>
    <row r="62" ht="21.75" customHeight="1">
      <c r="A62" s="30" t="inlineStr">
        <is>
          <t>Pão francês</t>
        </is>
      </c>
      <c r="B62" s="30" t="inlineStr">
        <is>
          <t>g</t>
        </is>
      </c>
      <c r="C62" s="35" t="n">
        <v>100</v>
      </c>
      <c r="D62" s="35" t="n">
        <v>300</v>
      </c>
      <c r="E62" s="35" t="n">
        <v>8</v>
      </c>
      <c r="F62" s="35" t="n">
        <v>58.6</v>
      </c>
      <c r="G62" s="35" t="n">
        <v>3.1</v>
      </c>
      <c r="H62" s="35" t="n">
        <v>2.3</v>
      </c>
      <c r="I62" s="30" t="inlineStr">
        <is>
          <t>TACO 4ª ed.; pelo nome</t>
        </is>
      </c>
      <c r="J62" s="30" t="inlineStr">
        <is>
          <t>1 unidade média tem cerca de 50 g</t>
        </is>
      </c>
      <c r="K62" s="30" t="inlineStr">
        <is>
          <t>Tabela TACO Unicamp</t>
        </is>
      </c>
      <c r="L62" s="18">
        <f>IF(A62="","",IF(AND(ISNUMBER(C62),C62&gt;0,COUNT(D62:H62)=5),"OK","Rever macros"))</f>
        <v/>
      </c>
      <c r="M62" s="18" t="inlineStr">
        <is>
          <t>un</t>
        </is>
      </c>
      <c r="N62" s="34" t="n">
        <v>50</v>
      </c>
      <c r="O62" s="34" t="inlineStr">
        <is>
          <t>Referência cadastrada — não auditada nesta revisão</t>
        </is>
      </c>
    </row>
    <row r="63" ht="21.75" customHeight="1">
      <c r="A63" s="30" t="inlineStr">
        <is>
          <t>Pão de forma tradicional</t>
        </is>
      </c>
      <c r="B63" s="30" t="inlineStr">
        <is>
          <t>g</t>
        </is>
      </c>
      <c r="C63" s="35" t="n">
        <v>100</v>
      </c>
      <c r="D63" s="35" t="n">
        <v>265</v>
      </c>
      <c r="E63" s="35" t="n">
        <v>8.4</v>
      </c>
      <c r="F63" s="35" t="n">
        <v>51.8</v>
      </c>
      <c r="G63" s="35" t="n">
        <v>2.4</v>
      </c>
      <c r="H63" s="35" t="n">
        <v>2.5</v>
      </c>
      <c r="I63" s="30" t="inlineStr">
        <is>
          <t>TACO 4ª ed.; pelo nome</t>
        </is>
      </c>
      <c r="J63" s="30" t="inlineStr">
        <is>
          <t>Fatia cerca de 25 g</t>
        </is>
      </c>
      <c r="K63" s="30" t="inlineStr">
        <is>
          <t>Tabela TACO Unicamp</t>
        </is>
      </c>
      <c r="L63" s="18">
        <f>IF(A63="","",IF(AND(ISNUMBER(C63),C63&gt;0,COUNT(D63:H63)=5),"OK","Rever macros"))</f>
        <v/>
      </c>
      <c r="M63" s="18" t="inlineStr">
        <is>
          <t>fatia</t>
        </is>
      </c>
      <c r="N63" s="34" t="n">
        <v>25</v>
      </c>
      <c r="O63" s="34" t="inlineStr">
        <is>
          <t>Referência cadastrada — não auditada nesta revisão</t>
        </is>
      </c>
    </row>
    <row r="64" ht="21.75" customHeight="1">
      <c r="A64" s="30" t="inlineStr">
        <is>
          <t>Goma de tapioca hidratada</t>
        </is>
      </c>
      <c r="B64" s="30" t="inlineStr">
        <is>
          <t>g</t>
        </is>
      </c>
      <c r="C64" s="35" t="n">
        <v>100</v>
      </c>
      <c r="D64" s="35" t="n">
        <v>242</v>
      </c>
      <c r="E64" s="35" t="n">
        <v>0.3</v>
      </c>
      <c r="F64" s="35" t="n">
        <v>59.8</v>
      </c>
      <c r="G64" s="35" t="n">
        <v>0.2</v>
      </c>
      <c r="H64" s="35" t="n">
        <v>0.6</v>
      </c>
      <c r="I64" s="30" t="inlineStr">
        <is>
          <t>TACO 4ª ed.; pelo nome</t>
        </is>
      </c>
      <c r="J64" s="30" t="inlineStr">
        <is>
          <t>Pesar a massa crua antes de assar</t>
        </is>
      </c>
      <c r="K64" s="30" t="inlineStr">
        <is>
          <t>Tabela TACO Unicamp</t>
        </is>
      </c>
      <c r="L64" s="18">
        <f>IF(A64="","",IF(AND(ISNUMBER(C64),C64&gt;0,COUNT(D64:H64)=5),"OK","Rever macros"))</f>
        <v/>
      </c>
      <c r="M64" s="18" t="n"/>
      <c r="O64" s="34" t="inlineStr">
        <is>
          <t>Referência cadastrada — não auditada nesta revisão</t>
        </is>
      </c>
    </row>
    <row r="65" ht="21.75" customHeight="1">
      <c r="A65" s="30" t="inlineStr">
        <is>
          <t>Cuscuz de milho cozido</t>
        </is>
      </c>
      <c r="B65" s="30" t="inlineStr">
        <is>
          <t>g</t>
        </is>
      </c>
      <c r="C65" s="35" t="n">
        <v>100</v>
      </c>
      <c r="D65" s="35" t="n">
        <v>113</v>
      </c>
      <c r="E65" s="35" t="n">
        <v>2.2</v>
      </c>
      <c r="F65" s="35" t="n">
        <v>25.3</v>
      </c>
      <c r="G65" s="35" t="n">
        <v>0.7</v>
      </c>
      <c r="H65" s="35" t="n">
        <v>1.8</v>
      </c>
      <c r="I65" s="30" t="inlineStr">
        <is>
          <t>TACO 4ª ed.; pelo nome</t>
        </is>
      </c>
      <c r="J65" s="30" t="inlineStr">
        <is>
          <t>Pesar pronto; manteiga à parte</t>
        </is>
      </c>
      <c r="K65" s="30" t="inlineStr">
        <is>
          <t>Tabela TACO Unicamp</t>
        </is>
      </c>
      <c r="L65" s="18">
        <f>IF(A65="","",IF(AND(ISNUMBER(C65),C65&gt;0,COUNT(D65:H65)=5),"OK","Rever macros"))</f>
        <v/>
      </c>
      <c r="M65" s="18" t="n"/>
      <c r="O65" s="34" t="inlineStr">
        <is>
          <t>Referência cadastrada — não auditada nesta revisão</t>
        </is>
      </c>
    </row>
    <row r="66" ht="13.5" customHeight="1">
      <c r="A66" s="30" t="inlineStr">
        <is>
          <t>Milho verde cozido</t>
        </is>
      </c>
      <c r="B66" s="30" t="inlineStr">
        <is>
          <t>g</t>
        </is>
      </c>
      <c r="C66" s="35" t="n">
        <v>100</v>
      </c>
      <c r="D66" s="35" t="n">
        <v>138</v>
      </c>
      <c r="E66" s="35" t="n">
        <v>3.3</v>
      </c>
      <c r="F66" s="35" t="n">
        <v>28.6</v>
      </c>
      <c r="G66" s="35" t="n">
        <v>2.4</v>
      </c>
      <c r="H66" s="35" t="n">
        <v>3.9</v>
      </c>
      <c r="I66" s="30" t="inlineStr">
        <is>
          <t>TACO 4ª ed.; pelo nome</t>
        </is>
      </c>
      <c r="J66" s="30" t="inlineStr">
        <is>
          <t>Pesar grãos debulhados</t>
        </is>
      </c>
      <c r="K66" s="30" t="inlineStr">
        <is>
          <t>Tabela TACO Unicamp</t>
        </is>
      </c>
      <c r="L66" s="18">
        <f>IF(A66="","",IF(AND(ISNUMBER(C66),C66&gt;0,COUNT(D66:H66)=5),"OK","Rever macros"))</f>
        <v/>
      </c>
      <c r="M66" s="18" t="n"/>
      <c r="O66" s="34" t="inlineStr">
        <is>
          <t>Referência cadastrada — não auditada nesta revisão</t>
        </is>
      </c>
    </row>
    <row r="67" ht="13.5" customHeight="1">
      <c r="A67" s="30" t="inlineStr">
        <is>
          <t>Grão-de-bico cozido</t>
        </is>
      </c>
      <c r="B67" s="30" t="inlineStr">
        <is>
          <t>g</t>
        </is>
      </c>
      <c r="C67" s="35" t="n">
        <v>100</v>
      </c>
      <c r="D67" s="35" t="n">
        <v>164</v>
      </c>
      <c r="E67" s="35" t="n">
        <v>8.9</v>
      </c>
      <c r="F67" s="35" t="n">
        <v>27.4</v>
      </c>
      <c r="G67" s="35" t="n">
        <v>2.6</v>
      </c>
      <c r="H67" s="35" t="n">
        <v>5.4</v>
      </c>
      <c r="I67" s="30" t="inlineStr">
        <is>
          <t>TACO 4ª ed.; pelo nome</t>
        </is>
      </c>
      <c r="J67" s="30" t="inlineStr">
        <is>
          <t>Pesar grãos cozidos escorridos</t>
        </is>
      </c>
      <c r="K67" s="30" t="inlineStr">
        <is>
          <t>Tabela TACO Unicamp</t>
        </is>
      </c>
      <c r="L67" s="18">
        <f>IF(A67="","",IF(AND(ISNUMBER(C67),C67&gt;0,COUNT(D67:H67)=5),"OK","Rever macros"))</f>
        <v/>
      </c>
      <c r="M67" s="18" t="n"/>
      <c r="O67" s="34" t="inlineStr">
        <is>
          <t>Referência cadastrada — não auditada nesta revisão</t>
        </is>
      </c>
    </row>
    <row r="68" ht="13.5" customHeight="1">
      <c r="A68" s="30" t="inlineStr">
        <is>
          <t>Ervilha fresca cozida</t>
        </is>
      </c>
      <c r="B68" s="30" t="inlineStr">
        <is>
          <t>g</t>
        </is>
      </c>
      <c r="C68" s="35" t="n">
        <v>100</v>
      </c>
      <c r="D68" s="35" t="n">
        <v>81</v>
      </c>
      <c r="E68" s="35" t="n">
        <v>5.4</v>
      </c>
      <c r="F68" s="35" t="n">
        <v>14.5</v>
      </c>
      <c r="G68" s="35" t="n">
        <v>0.4</v>
      </c>
      <c r="H68" s="35" t="n">
        <v>5.1</v>
      </c>
      <c r="I68" s="30" t="inlineStr">
        <is>
          <t>TACO 4ª ed.; pelo nome</t>
        </is>
      </c>
      <c r="J68" s="30" t="inlineStr">
        <is>
          <t>Pesar cozida escorrida</t>
        </is>
      </c>
      <c r="K68" s="30" t="inlineStr">
        <is>
          <t>Tabela TACO Unicamp</t>
        </is>
      </c>
      <c r="L68" s="18">
        <f>IF(A68="","",IF(AND(ISNUMBER(C68),C68&gt;0,COUNT(D68:H68)=5),"OK","Rever macros"))</f>
        <v/>
      </c>
      <c r="M68" s="18" t="n"/>
      <c r="O68" s="34" t="inlineStr">
        <is>
          <t>Referência cadastrada — não auditada nesta revisão</t>
        </is>
      </c>
    </row>
    <row r="69" ht="13.5" customHeight="1">
      <c r="A69" s="30" t="inlineStr">
        <is>
          <t>Soja cozida</t>
        </is>
      </c>
      <c r="B69" s="30" t="inlineStr">
        <is>
          <t>g</t>
        </is>
      </c>
      <c r="C69" s="35" t="n">
        <v>100</v>
      </c>
      <c r="D69" s="35" t="n">
        <v>173</v>
      </c>
      <c r="E69" s="35" t="n">
        <v>16.6</v>
      </c>
      <c r="F69" s="35" t="n">
        <v>9.9</v>
      </c>
      <c r="G69" s="35" t="n">
        <v>8.1</v>
      </c>
      <c r="H69" s="35" t="n">
        <v>6</v>
      </c>
      <c r="I69" s="30" t="inlineStr">
        <is>
          <t>TACO 4ª ed.; pelo nome</t>
        </is>
      </c>
      <c r="J69" s="30" t="inlineStr">
        <is>
          <t>Pesar grãos cozidos</t>
        </is>
      </c>
      <c r="K69" s="30" t="inlineStr">
        <is>
          <t>Tabela TACO Unicamp</t>
        </is>
      </c>
      <c r="L69" s="18">
        <f>IF(A69="","",IF(AND(ISNUMBER(C69),C69&gt;0,COUNT(D69:H69)=5),"OK","Rever macros"))</f>
        <v/>
      </c>
      <c r="M69" s="18" t="n"/>
      <c r="O69" s="34" t="inlineStr">
        <is>
          <t>Referência cadastrada — não auditada nesta revisão</t>
        </is>
      </c>
    </row>
    <row r="70" ht="13.5" customHeight="1">
      <c r="A70" s="30" t="inlineStr">
        <is>
          <t>Maçã fuji com casca</t>
        </is>
      </c>
      <c r="B70" s="30" t="inlineStr">
        <is>
          <t>g</t>
        </is>
      </c>
      <c r="C70" s="35" t="n">
        <v>100</v>
      </c>
      <c r="D70" s="35" t="n">
        <v>56</v>
      </c>
      <c r="E70" s="35" t="n">
        <v>0.3</v>
      </c>
      <c r="F70" s="35" t="n">
        <v>15.2</v>
      </c>
      <c r="G70" s="35" t="n">
        <v>0</v>
      </c>
      <c r="H70" s="35" t="n">
        <v>1.3</v>
      </c>
      <c r="I70" s="30" t="inlineStr">
        <is>
          <t>TACO 4ª ed.; pelo nome</t>
        </is>
      </c>
      <c r="J70" s="30" t="inlineStr">
        <is>
          <t>Parte comestível</t>
        </is>
      </c>
      <c r="K70" s="30" t="inlineStr">
        <is>
          <t>Tabela TACO Unicamp</t>
        </is>
      </c>
      <c r="L70" s="18">
        <f>IF(A70="","",IF(AND(ISNUMBER(C70),C70&gt;0,COUNT(D70:H70)=5),"OK","Rever macros"))</f>
        <v/>
      </c>
      <c r="M70" s="18" t="n"/>
      <c r="O70" s="34" t="inlineStr">
        <is>
          <t>Referência cadastrada — não auditada nesta revisão</t>
        </is>
      </c>
    </row>
    <row r="71" ht="13.5" customHeight="1">
      <c r="A71" s="30" t="inlineStr">
        <is>
          <t>Banana prata</t>
        </is>
      </c>
      <c r="B71" s="30" t="inlineStr">
        <is>
          <t>g</t>
        </is>
      </c>
      <c r="C71" s="35" t="n">
        <v>100</v>
      </c>
      <c r="D71" s="35" t="n">
        <v>98</v>
      </c>
      <c r="E71" s="35" t="n">
        <v>1.3</v>
      </c>
      <c r="F71" s="35" t="n">
        <v>26</v>
      </c>
      <c r="G71" s="35" t="n">
        <v>0.1</v>
      </c>
      <c r="H71" s="35" t="n">
        <v>2</v>
      </c>
      <c r="I71" s="30" t="inlineStr">
        <is>
          <t>TACO 4ª ed.; pelo nome</t>
        </is>
      </c>
      <c r="J71" s="30" t="inlineStr">
        <is>
          <t>Sem casca</t>
        </is>
      </c>
      <c r="K71" s="30" t="inlineStr">
        <is>
          <t>Tabela TACO Unicamp</t>
        </is>
      </c>
      <c r="L71" s="18">
        <f>IF(A71="","",IF(AND(ISNUMBER(C71),C71&gt;0,COUNT(D71:H71)=5),"OK","Rever macros"))</f>
        <v/>
      </c>
      <c r="M71" s="18" t="n"/>
      <c r="O71" s="34" t="inlineStr">
        <is>
          <t>Referência cadastrada — não auditada nesta revisão</t>
        </is>
      </c>
    </row>
    <row r="72" ht="13.5" customHeight="1">
      <c r="A72" s="30" t="inlineStr">
        <is>
          <t>Abacaxi pérola</t>
        </is>
      </c>
      <c r="B72" s="30" t="inlineStr">
        <is>
          <t>g</t>
        </is>
      </c>
      <c r="C72" s="35" t="n">
        <v>100</v>
      </c>
      <c r="D72" s="35" t="n">
        <v>48</v>
      </c>
      <c r="E72" s="35" t="n">
        <v>0.9</v>
      </c>
      <c r="F72" s="35" t="n">
        <v>12.3</v>
      </c>
      <c r="G72" s="35" t="n">
        <v>0.1</v>
      </c>
      <c r="H72" s="35" t="n">
        <v>1</v>
      </c>
      <c r="I72" s="30" t="inlineStr">
        <is>
          <t>TACO 4ª ed.; pelo nome</t>
        </is>
      </c>
      <c r="J72" s="30" t="inlineStr">
        <is>
          <t>Parte comestível picada</t>
        </is>
      </c>
      <c r="K72" s="30" t="inlineStr">
        <is>
          <t>Tabela TACO Unicamp</t>
        </is>
      </c>
      <c r="L72" s="18">
        <f>IF(A72="","",IF(AND(ISNUMBER(C72),C72&gt;0,COUNT(D72:H72)=5),"OK","Rever macros"))</f>
        <v/>
      </c>
      <c r="M72" s="18" t="n"/>
      <c r="O72" s="34" t="inlineStr">
        <is>
          <t>Referência cadastrada — não auditada nesta revisão</t>
        </is>
      </c>
    </row>
    <row r="73" ht="13.5" customHeight="1">
      <c r="A73" s="30" t="inlineStr">
        <is>
          <t>Melancia</t>
        </is>
      </c>
      <c r="B73" s="30" t="inlineStr">
        <is>
          <t>g</t>
        </is>
      </c>
      <c r="C73" s="35" t="n">
        <v>100</v>
      </c>
      <c r="D73" s="35" t="n">
        <v>33</v>
      </c>
      <c r="E73" s="35" t="n">
        <v>0.9</v>
      </c>
      <c r="F73" s="35" t="n">
        <v>8.1</v>
      </c>
      <c r="G73" s="35" t="n">
        <v>0</v>
      </c>
      <c r="H73" s="35" t="n">
        <v>0.1</v>
      </c>
      <c r="I73" s="30" t="inlineStr">
        <is>
          <t>TACO 4ª ed.; pelo nome</t>
        </is>
      </c>
      <c r="J73" s="30" t="inlineStr">
        <is>
          <t>Sem casca</t>
        </is>
      </c>
      <c r="K73" s="30" t="inlineStr">
        <is>
          <t>Tabela TACO Unicamp</t>
        </is>
      </c>
      <c r="L73" s="18">
        <f>IF(A73="","",IF(AND(ISNUMBER(C73),C73&gt;0,COUNT(D73:H73)=5),"OK","Rever macros"))</f>
        <v/>
      </c>
      <c r="M73" s="18" t="n"/>
      <c r="O73" s="34" t="inlineStr">
        <is>
          <t>Referência cadastrada — não auditada nesta revisão</t>
        </is>
      </c>
    </row>
    <row r="74" ht="13.5" customHeight="1">
      <c r="A74" s="30" t="inlineStr">
        <is>
          <t>Mamão papaia</t>
        </is>
      </c>
      <c r="B74" s="30" t="inlineStr">
        <is>
          <t>g</t>
        </is>
      </c>
      <c r="C74" s="35" t="n">
        <v>100</v>
      </c>
      <c r="D74" s="35" t="n">
        <v>40</v>
      </c>
      <c r="E74" s="35" t="n">
        <v>0.5</v>
      </c>
      <c r="F74" s="35" t="n">
        <v>10.4</v>
      </c>
      <c r="G74" s="35" t="n">
        <v>0.1</v>
      </c>
      <c r="H74" s="35" t="n">
        <v>1</v>
      </c>
      <c r="I74" s="30" t="inlineStr">
        <is>
          <t>TACO 4ª ed.; pelo nome</t>
        </is>
      </c>
      <c r="J74" s="30" t="inlineStr">
        <is>
          <t>Sem casca e sem sementes</t>
        </is>
      </c>
      <c r="K74" s="30" t="inlineStr">
        <is>
          <t>Tabela TACO Unicamp</t>
        </is>
      </c>
      <c r="L74" s="18">
        <f>IF(A74="","",IF(AND(ISNUMBER(C74),C74&gt;0,COUNT(D74:H74)=5),"OK","Rever macros"))</f>
        <v/>
      </c>
      <c r="M74" s="18" t="n"/>
      <c r="O74" s="34" t="inlineStr">
        <is>
          <t>Referência cadastrada — não auditada nesta revisão</t>
        </is>
      </c>
    </row>
    <row r="75" ht="13.5" customHeight="1">
      <c r="A75" s="30" t="inlineStr">
        <is>
          <t>Mamão formosa</t>
        </is>
      </c>
      <c r="B75" s="30" t="inlineStr">
        <is>
          <t>g</t>
        </is>
      </c>
      <c r="C75" s="35" t="n">
        <v>100</v>
      </c>
      <c r="D75" s="35" t="n">
        <v>45</v>
      </c>
      <c r="E75" s="35" t="n">
        <v>0.8</v>
      </c>
      <c r="F75" s="35" t="n">
        <v>11.6</v>
      </c>
      <c r="G75" s="35" t="n">
        <v>0.1</v>
      </c>
      <c r="H75" s="35" t="n">
        <v>1.8</v>
      </c>
      <c r="I75" s="30" t="inlineStr">
        <is>
          <t>TACO 4ª ed.; pelo nome</t>
        </is>
      </c>
      <c r="J75" s="30" t="inlineStr">
        <is>
          <t>Sem casca e sem sementes</t>
        </is>
      </c>
      <c r="K75" s="30" t="inlineStr">
        <is>
          <t>Tabela TACO Unicamp</t>
        </is>
      </c>
      <c r="L75" s="18">
        <f>IF(A75="","",IF(AND(ISNUMBER(C75),C75&gt;0,COUNT(D75:H75)=5),"OK","Rever macros"))</f>
        <v/>
      </c>
      <c r="M75" s="18" t="n"/>
      <c r="O75" s="34" t="inlineStr">
        <is>
          <t>Referência cadastrada — não auditada nesta revisão</t>
        </is>
      </c>
    </row>
    <row r="76" ht="13.5" customHeight="1">
      <c r="A76" s="30" t="inlineStr">
        <is>
          <t>Morango in natura</t>
        </is>
      </c>
      <c r="B76" s="30" t="inlineStr">
        <is>
          <t>g</t>
        </is>
      </c>
      <c r="C76" s="35" t="n">
        <v>100</v>
      </c>
      <c r="D76" s="35" t="n">
        <v>30</v>
      </c>
      <c r="E76" s="35" t="n">
        <v>0.9</v>
      </c>
      <c r="F76" s="35" t="n">
        <v>6.8</v>
      </c>
      <c r="G76" s="35" t="n">
        <v>0.3</v>
      </c>
      <c r="H76" s="35" t="n">
        <v>1.7</v>
      </c>
      <c r="I76" s="30" t="inlineStr">
        <is>
          <t>TACO 4ª ed.; pelo nome</t>
        </is>
      </c>
      <c r="J76" s="30" t="inlineStr">
        <is>
          <t>Sem folhas; in natura</t>
        </is>
      </c>
      <c r="K76" s="30" t="inlineStr">
        <is>
          <t>Tabela TACO Unicamp</t>
        </is>
      </c>
      <c r="L76" s="18">
        <f>IF(A76="","",IF(AND(ISNUMBER(C76),C76&gt;0,COUNT(D76:H76)=5),"OK","Rever macros"))</f>
        <v/>
      </c>
      <c r="M76" s="18" t="n"/>
      <c r="O76" s="34" t="inlineStr">
        <is>
          <t>Referência cadastrada — não auditada nesta revisão</t>
        </is>
      </c>
    </row>
    <row r="77" ht="13.5" customHeight="1">
      <c r="A77" s="30" t="inlineStr">
        <is>
          <t>Uva itália</t>
        </is>
      </c>
      <c r="B77" s="30" t="inlineStr">
        <is>
          <t>g</t>
        </is>
      </c>
      <c r="C77" s="35" t="n">
        <v>100</v>
      </c>
      <c r="D77" s="35" t="n">
        <v>53</v>
      </c>
      <c r="E77" s="35" t="n">
        <v>0.7</v>
      </c>
      <c r="F77" s="35" t="n">
        <v>13.6</v>
      </c>
      <c r="G77" s="35" t="n">
        <v>0.2</v>
      </c>
      <c r="H77" s="35" t="n">
        <v>0.9</v>
      </c>
      <c r="I77" s="30" t="inlineStr">
        <is>
          <t>TACO 4ª ed.; pelo nome</t>
        </is>
      </c>
      <c r="J77" s="30" t="inlineStr">
        <is>
          <t>Parte comestível</t>
        </is>
      </c>
      <c r="K77" s="30" t="inlineStr">
        <is>
          <t>Tabela TACO Unicamp</t>
        </is>
      </c>
      <c r="L77" s="18">
        <f>IF(A77="","",IF(AND(ISNUMBER(C77),C77&gt;0,COUNT(D77:H77)=5),"OK","Rever macros"))</f>
        <v/>
      </c>
      <c r="M77" s="18" t="n"/>
      <c r="O77" s="34" t="inlineStr">
        <is>
          <t>Referência cadastrada — não auditada nesta revisão</t>
        </is>
      </c>
    </row>
    <row r="78" ht="13.5" customHeight="1">
      <c r="A78" s="30" t="inlineStr">
        <is>
          <t>Manga tommy atkins</t>
        </is>
      </c>
      <c r="B78" s="30" t="inlineStr">
        <is>
          <t>g</t>
        </is>
      </c>
      <c r="C78" s="35" t="n">
        <v>100</v>
      </c>
      <c r="D78" s="35" t="n">
        <v>51</v>
      </c>
      <c r="E78" s="35" t="n">
        <v>0.5</v>
      </c>
      <c r="F78" s="35" t="n">
        <v>12.8</v>
      </c>
      <c r="G78" s="35" t="n">
        <v>0.2</v>
      </c>
      <c r="H78" s="35" t="n">
        <v>1.6</v>
      </c>
      <c r="I78" s="30" t="inlineStr">
        <is>
          <t>TACO 4ª ed.; pelo nome</t>
        </is>
      </c>
      <c r="J78" s="30" t="inlineStr">
        <is>
          <t>Sem casca e sem caroço</t>
        </is>
      </c>
      <c r="K78" s="30" t="inlineStr">
        <is>
          <t>Tabela TACO Unicamp</t>
        </is>
      </c>
      <c r="L78" s="18">
        <f>IF(A78="","",IF(AND(ISNUMBER(C78),C78&gt;0,COUNT(D78:H78)=5),"OK","Rever macros"))</f>
        <v/>
      </c>
      <c r="M78" s="18" t="n"/>
      <c r="O78" s="34" t="inlineStr">
        <is>
          <t>Referência cadastrada — não auditada nesta revisão</t>
        </is>
      </c>
    </row>
    <row r="79" ht="13.5" customHeight="1">
      <c r="A79" s="30" t="inlineStr">
        <is>
          <t>Manga palmer</t>
        </is>
      </c>
      <c r="B79" s="30" t="inlineStr">
        <is>
          <t>g</t>
        </is>
      </c>
      <c r="C79" s="35" t="n">
        <v>100</v>
      </c>
      <c r="D79" s="35" t="n">
        <v>72</v>
      </c>
      <c r="E79" s="35" t="n">
        <v>0.4</v>
      </c>
      <c r="F79" s="35" t="n">
        <v>19.4</v>
      </c>
      <c r="G79" s="35" t="n">
        <v>0.2</v>
      </c>
      <c r="H79" s="35" t="n">
        <v>1.6</v>
      </c>
      <c r="I79" s="30" t="inlineStr">
        <is>
          <t>TACO 4ª ed.; pelo nome</t>
        </is>
      </c>
      <c r="J79" s="30" t="inlineStr">
        <is>
          <t>Sem casca e sem caroço</t>
        </is>
      </c>
      <c r="K79" s="30" t="inlineStr">
        <is>
          <t>Tabela TACO Unicamp</t>
        </is>
      </c>
      <c r="L79" s="18">
        <f>IF(A79="","",IF(AND(ISNUMBER(C79),C79&gt;0,COUNT(D79:H79)=5),"OK","Rever macros"))</f>
        <v/>
      </c>
      <c r="M79" s="18" t="n"/>
      <c r="O79" s="34" t="inlineStr">
        <is>
          <t>Referência cadastrada — não auditada nesta revisão</t>
        </is>
      </c>
    </row>
    <row r="80" ht="13.5" customHeight="1">
      <c r="A80" s="30" t="inlineStr">
        <is>
          <t>Abacate</t>
        </is>
      </c>
      <c r="B80" s="30" t="inlineStr">
        <is>
          <t>g</t>
        </is>
      </c>
      <c r="C80" s="35" t="n">
        <v>100</v>
      </c>
      <c r="D80" s="35" t="n">
        <v>96</v>
      </c>
      <c r="E80" s="35" t="n">
        <v>1.2</v>
      </c>
      <c r="F80" s="35" t="n">
        <v>6</v>
      </c>
      <c r="G80" s="35" t="n">
        <v>8.4</v>
      </c>
      <c r="H80" s="35" t="n">
        <v>6.3</v>
      </c>
      <c r="I80" s="30" t="inlineStr">
        <is>
          <t>TACO 4ª ed.; pelo nome</t>
        </is>
      </c>
      <c r="J80" s="30" t="inlineStr">
        <is>
          <t>Sem casca e sem caroço</t>
        </is>
      </c>
      <c r="K80" s="30" t="inlineStr">
        <is>
          <t>Tabela TACO Unicamp</t>
        </is>
      </c>
      <c r="L80" s="18">
        <f>IF(A80="","",IF(AND(ISNUMBER(C80),C80&gt;0,COUNT(D80:H80)=5),"OK","Rever macros"))</f>
        <v/>
      </c>
      <c r="M80" s="18" t="n"/>
      <c r="O80" s="34" t="inlineStr">
        <is>
          <t>Referência cadastrada — não auditada nesta revisão</t>
        </is>
      </c>
    </row>
    <row r="81" ht="13.5" customHeight="1">
      <c r="A81" s="30" t="inlineStr">
        <is>
          <t>Melão espanhol</t>
        </is>
      </c>
      <c r="B81" s="30" t="inlineStr">
        <is>
          <t>g</t>
        </is>
      </c>
      <c r="C81" s="35" t="n">
        <v>100</v>
      </c>
      <c r="D81" s="35" t="n">
        <v>29</v>
      </c>
      <c r="E81" s="35" t="n">
        <v>0.7</v>
      </c>
      <c r="F81" s="35" t="n">
        <v>7.5</v>
      </c>
      <c r="G81" s="35" t="n">
        <v>0</v>
      </c>
      <c r="H81" s="35" t="n">
        <v>0.3</v>
      </c>
      <c r="I81" s="30" t="inlineStr">
        <is>
          <t>TACO 4ª ed.; pelo nome</t>
        </is>
      </c>
      <c r="J81" s="30" t="inlineStr">
        <is>
          <t>Sem casca</t>
        </is>
      </c>
      <c r="K81" s="30" t="inlineStr">
        <is>
          <t>Tabela TACO Unicamp</t>
        </is>
      </c>
      <c r="L81" s="18">
        <f>IF(A81="","",IF(AND(ISNUMBER(C81),C81&gt;0,COUNT(D81:H81)=5),"OK","Rever macros"))</f>
        <v/>
      </c>
      <c r="M81" s="18" t="n"/>
      <c r="O81" s="34" t="inlineStr">
        <is>
          <t>Referência cadastrada — não auditada nesta revisão</t>
        </is>
      </c>
    </row>
    <row r="82" ht="13.5" customHeight="1">
      <c r="A82" s="30" t="inlineStr">
        <is>
          <t>Pera williams</t>
        </is>
      </c>
      <c r="B82" s="30" t="inlineStr">
        <is>
          <t>g</t>
        </is>
      </c>
      <c r="C82" s="35" t="n">
        <v>100</v>
      </c>
      <c r="D82" s="35" t="n">
        <v>53</v>
      </c>
      <c r="E82" s="35" t="n">
        <v>0.6</v>
      </c>
      <c r="F82" s="35" t="n">
        <v>14</v>
      </c>
      <c r="G82" s="35" t="n">
        <v>0.1</v>
      </c>
      <c r="H82" s="35" t="n">
        <v>3</v>
      </c>
      <c r="I82" s="30" t="inlineStr">
        <is>
          <t>TACO 4ª ed.; pelo nome</t>
        </is>
      </c>
      <c r="J82" s="30" t="inlineStr">
        <is>
          <t>Com casca</t>
        </is>
      </c>
      <c r="K82" s="30" t="inlineStr">
        <is>
          <t>Tabela TACO Unicamp</t>
        </is>
      </c>
      <c r="L82" s="18">
        <f>IF(A82="","",IF(AND(ISNUMBER(C82),C82&gt;0,COUNT(D82:H82)=5),"OK","Rever macros"))</f>
        <v/>
      </c>
      <c r="M82" s="18" t="n"/>
      <c r="O82" s="34" t="inlineStr">
        <is>
          <t>Referência cadastrada — não auditada nesta revisão</t>
        </is>
      </c>
    </row>
    <row r="83" ht="13.5" customHeight="1">
      <c r="A83" s="30" t="inlineStr">
        <is>
          <t>Kiwi</t>
        </is>
      </c>
      <c r="B83" s="30" t="inlineStr">
        <is>
          <t>g</t>
        </is>
      </c>
      <c r="C83" s="35" t="n">
        <v>100</v>
      </c>
      <c r="D83" s="35" t="n">
        <v>51</v>
      </c>
      <c r="E83" s="35" t="n">
        <v>1.1</v>
      </c>
      <c r="F83" s="35" t="n">
        <v>11.5</v>
      </c>
      <c r="G83" s="35" t="n">
        <v>0.5</v>
      </c>
      <c r="H83" s="35" t="n">
        <v>2.7</v>
      </c>
      <c r="I83" s="30" t="inlineStr">
        <is>
          <t>Estimativa genérica</t>
        </is>
      </c>
      <c r="J83" s="30" t="inlineStr">
        <is>
          <t>Sem casca</t>
        </is>
      </c>
      <c r="K83" s="30" t="inlineStr">
        <is>
          <t>Conferir rótulo / estimativa</t>
        </is>
      </c>
      <c r="L83" s="18">
        <f>IF(A83="","",IF(AND(ISNUMBER(C83),C83&gt;0,COUNT(D83:H83)=5),"OK","Rever macros"))</f>
        <v/>
      </c>
      <c r="M83" s="18" t="n"/>
      <c r="O83" s="34" t="inlineStr">
        <is>
          <t>Estimativa — conferir rótulo</t>
        </is>
      </c>
    </row>
    <row r="84" ht="13.5" customHeight="1">
      <c r="A84" s="30" t="inlineStr">
        <is>
          <t>Goiaba vermelha com casca</t>
        </is>
      </c>
      <c r="B84" s="30" t="inlineStr">
        <is>
          <t>g</t>
        </is>
      </c>
      <c r="C84" s="35" t="n">
        <v>100</v>
      </c>
      <c r="D84" s="35" t="n">
        <v>54</v>
      </c>
      <c r="E84" s="35" t="n">
        <v>1.1</v>
      </c>
      <c r="F84" s="35" t="n">
        <v>13</v>
      </c>
      <c r="G84" s="35" t="n">
        <v>0.4</v>
      </c>
      <c r="H84" s="35" t="n">
        <v>6.2</v>
      </c>
      <c r="I84" s="30" t="inlineStr">
        <is>
          <t>TACO 4ª ed.; pelo nome</t>
        </is>
      </c>
      <c r="J84" s="30" t="inlineStr">
        <is>
          <t>Parte comestível inteira</t>
        </is>
      </c>
      <c r="K84" s="30" t="inlineStr">
        <is>
          <t>Tabela TACO Unicamp</t>
        </is>
      </c>
      <c r="L84" s="18">
        <f>IF(A84="","",IF(AND(ISNUMBER(C84),C84&gt;0,COUNT(D84:H84)=5),"OK","Rever macros"))</f>
        <v/>
      </c>
      <c r="M84" s="18" t="n"/>
      <c r="O84" s="34" t="inlineStr">
        <is>
          <t>Referência cadastrada — não auditada nesta revisão</t>
        </is>
      </c>
    </row>
    <row r="85" ht="13.5" customHeight="1">
      <c r="A85" s="30" t="inlineStr">
        <is>
          <t>Uva passa</t>
        </is>
      </c>
      <c r="B85" s="30" t="inlineStr">
        <is>
          <t>g</t>
        </is>
      </c>
      <c r="C85" s="35" t="n">
        <v>100</v>
      </c>
      <c r="D85" s="35" t="n">
        <v>299</v>
      </c>
      <c r="E85" s="35" t="n">
        <v>3.3</v>
      </c>
      <c r="F85" s="35" t="n">
        <v>79.2</v>
      </c>
      <c r="G85" s="35" t="n">
        <v>0.5</v>
      </c>
      <c r="H85" s="35" t="n">
        <v>3.7</v>
      </c>
      <c r="I85" s="30" t="inlineStr">
        <is>
          <t>TACO 4ª ed.; pelo nome</t>
        </is>
      </c>
      <c r="J85" s="30" t="inlineStr">
        <is>
          <t>Pesar porção seca</t>
        </is>
      </c>
      <c r="K85" s="30" t="inlineStr">
        <is>
          <t>Tabela TACO Unicamp</t>
        </is>
      </c>
      <c r="L85" s="18">
        <f>IF(A85="","",IF(AND(ISNUMBER(C85),C85&gt;0,COUNT(D85:H85)=5),"OK","Rever macros"))</f>
        <v/>
      </c>
      <c r="M85" s="18" t="n"/>
      <c r="O85" s="34" t="inlineStr">
        <is>
          <t>Referência cadastrada — não auditada nesta revisão</t>
        </is>
      </c>
    </row>
    <row r="86" ht="13.5" customHeight="1">
      <c r="A86" s="30" t="inlineStr">
        <is>
          <t>Brócolis cozido</t>
        </is>
      </c>
      <c r="B86" s="30" t="inlineStr">
        <is>
          <t>g</t>
        </is>
      </c>
      <c r="C86" s="35" t="n">
        <v>100</v>
      </c>
      <c r="D86" s="35" t="n">
        <v>25</v>
      </c>
      <c r="E86" s="35" t="n">
        <v>2.1</v>
      </c>
      <c r="F86" s="35" t="n">
        <v>4.4</v>
      </c>
      <c r="G86" s="35" t="n">
        <v>0.5</v>
      </c>
      <c r="H86" s="35" t="n">
        <v>3.4</v>
      </c>
      <c r="I86" s="30" t="inlineStr">
        <is>
          <t>TACO 4ª ed.; pelo nome</t>
        </is>
      </c>
      <c r="J86" s="30" t="inlineStr">
        <is>
          <t>Cozido em água sem óleo</t>
        </is>
      </c>
      <c r="K86" s="30" t="inlineStr">
        <is>
          <t>Tabela TACO Unicamp</t>
        </is>
      </c>
      <c r="L86" s="18">
        <f>IF(A86="","",IF(AND(ISNUMBER(C86),C86&gt;0,COUNT(D86:H86)=5),"OK","Rever macros"))</f>
        <v/>
      </c>
      <c r="M86" s="18" t="n"/>
      <c r="O86" s="34" t="inlineStr">
        <is>
          <t>Referência cadastrada — não auditada nesta revisão</t>
        </is>
      </c>
    </row>
    <row r="87" ht="13.5" customHeight="1">
      <c r="A87" s="30" t="inlineStr">
        <is>
          <t>Couve-flor cozida</t>
        </is>
      </c>
      <c r="B87" s="30" t="inlineStr">
        <is>
          <t>g</t>
        </is>
      </c>
      <c r="C87" s="35" t="n">
        <v>100</v>
      </c>
      <c r="D87" s="35" t="n">
        <v>19</v>
      </c>
      <c r="E87" s="35" t="n">
        <v>1.2</v>
      </c>
      <c r="F87" s="35" t="n">
        <v>3.9</v>
      </c>
      <c r="G87" s="35" t="n">
        <v>0.2</v>
      </c>
      <c r="H87" s="35" t="n">
        <v>2.1</v>
      </c>
      <c r="I87" s="30" t="inlineStr">
        <is>
          <t>TACO 4ª ed.; pelo nome</t>
        </is>
      </c>
      <c r="J87" s="30" t="inlineStr">
        <is>
          <t>Cozida em água sem óleo</t>
        </is>
      </c>
      <c r="K87" s="30" t="inlineStr">
        <is>
          <t>Tabela TACO Unicamp</t>
        </is>
      </c>
      <c r="L87" s="18">
        <f>IF(A87="","",IF(AND(ISNUMBER(C87),C87&gt;0,COUNT(D87:H87)=5),"OK","Rever macros"))</f>
        <v/>
      </c>
      <c r="M87" s="18" t="n"/>
      <c r="O87" s="34" t="inlineStr">
        <is>
          <t>Referência cadastrada — não auditada nesta revisão</t>
        </is>
      </c>
    </row>
    <row r="88" ht="13.5" customHeight="1">
      <c r="A88" s="30" t="inlineStr">
        <is>
          <t>Tomate salada cru</t>
        </is>
      </c>
      <c r="B88" s="30" t="inlineStr">
        <is>
          <t>g</t>
        </is>
      </c>
      <c r="C88" s="35" t="n">
        <v>100</v>
      </c>
      <c r="D88" s="35" t="n">
        <v>15</v>
      </c>
      <c r="E88" s="35" t="n">
        <v>1.1</v>
      </c>
      <c r="F88" s="35" t="n">
        <v>3.1</v>
      </c>
      <c r="G88" s="35" t="n">
        <v>0.2</v>
      </c>
      <c r="H88" s="35" t="n">
        <v>1.2</v>
      </c>
      <c r="I88" s="30" t="inlineStr">
        <is>
          <t>TACO 4ª ed.; pelo nome</t>
        </is>
      </c>
      <c r="J88" s="30" t="inlineStr">
        <is>
          <t>Com pele e sementes</t>
        </is>
      </c>
      <c r="K88" s="30" t="inlineStr">
        <is>
          <t>Tabela TACO Unicamp</t>
        </is>
      </c>
      <c r="L88" s="18">
        <f>IF(A88="","",IF(AND(ISNUMBER(C88),C88&gt;0,COUNT(D88:H88)=5),"OK","Rever macros"))</f>
        <v/>
      </c>
      <c r="M88" s="18" t="n"/>
      <c r="O88" s="34" t="inlineStr">
        <is>
          <t>Referência cadastrada — não auditada nesta revisão</t>
        </is>
      </c>
    </row>
    <row r="89" ht="13.5" customHeight="1">
      <c r="A89" s="30" t="inlineStr">
        <is>
          <t>Abobrinha italiana cozida</t>
        </is>
      </c>
      <c r="B89" s="30" t="inlineStr">
        <is>
          <t>g</t>
        </is>
      </c>
      <c r="C89" s="35" t="n">
        <v>100</v>
      </c>
      <c r="D89" s="35" t="n">
        <v>15</v>
      </c>
      <c r="E89" s="35" t="n">
        <v>1.1</v>
      </c>
      <c r="F89" s="35" t="n">
        <v>3</v>
      </c>
      <c r="G89" s="35" t="n">
        <v>0.2</v>
      </c>
      <c r="H89" s="35" t="n">
        <v>1.6</v>
      </c>
      <c r="I89" s="30" t="inlineStr">
        <is>
          <t>TACO 4ª ed.; pelo nome</t>
        </is>
      </c>
      <c r="J89" s="30" t="inlineStr">
        <is>
          <t>Cozida em água sem óleo</t>
        </is>
      </c>
      <c r="K89" s="30" t="inlineStr">
        <is>
          <t>Tabela TACO Unicamp</t>
        </is>
      </c>
      <c r="L89" s="18">
        <f>IF(A89="","",IF(AND(ISNUMBER(C89),C89&gt;0,COUNT(D89:H89)=5),"OK","Rever macros"))</f>
        <v/>
      </c>
      <c r="M89" s="18" t="n"/>
      <c r="O89" s="34" t="inlineStr">
        <is>
          <t>Referência cadastrada — não auditada nesta revisão</t>
        </is>
      </c>
    </row>
    <row r="90" ht="13.5" customHeight="1">
      <c r="A90" s="30" t="inlineStr">
        <is>
          <t>Chuchu cozido</t>
        </is>
      </c>
      <c r="B90" s="30" t="inlineStr">
        <is>
          <t>g</t>
        </is>
      </c>
      <c r="C90" s="35" t="n">
        <v>100</v>
      </c>
      <c r="D90" s="35" t="n">
        <v>19</v>
      </c>
      <c r="E90" s="35" t="n">
        <v>0.4</v>
      </c>
      <c r="F90" s="35" t="n">
        <v>4.8</v>
      </c>
      <c r="G90" s="35" t="n">
        <v>0.1</v>
      </c>
      <c r="H90" s="35" t="n">
        <v>1</v>
      </c>
      <c r="I90" s="30" t="inlineStr">
        <is>
          <t>TACO 4ª ed.; pelo nome</t>
        </is>
      </c>
      <c r="J90" s="30" t="inlineStr">
        <is>
          <t>Cozido sem óleo</t>
        </is>
      </c>
      <c r="K90" s="30" t="inlineStr">
        <is>
          <t>Tabela TACO Unicamp</t>
        </is>
      </c>
      <c r="L90" s="18">
        <f>IF(A90="","",IF(AND(ISNUMBER(C90),C90&gt;0,COUNT(D90:H90)=5),"OK","Rever macros"))</f>
        <v/>
      </c>
      <c r="M90" s="18" t="n"/>
      <c r="O90" s="34" t="inlineStr">
        <is>
          <t>Referência cadastrada — não auditada nesta revisão</t>
        </is>
      </c>
    </row>
    <row r="91" ht="13.5" customHeight="1">
      <c r="A91" s="30" t="inlineStr">
        <is>
          <t>Beterraba cozida</t>
        </is>
      </c>
      <c r="B91" s="30" t="inlineStr">
        <is>
          <t>g</t>
        </is>
      </c>
      <c r="C91" s="35" t="n">
        <v>100</v>
      </c>
      <c r="D91" s="35" t="n">
        <v>32</v>
      </c>
      <c r="E91" s="35" t="n">
        <v>1.3</v>
      </c>
      <c r="F91" s="35" t="n">
        <v>7.2</v>
      </c>
      <c r="G91" s="35" t="n">
        <v>0.1</v>
      </c>
      <c r="H91" s="35" t="n">
        <v>1.9</v>
      </c>
      <c r="I91" s="30" t="inlineStr">
        <is>
          <t>TACO 4ª ed.; pelo nome</t>
        </is>
      </c>
      <c r="J91" s="30" t="inlineStr">
        <is>
          <t>Cozida sem óleo</t>
        </is>
      </c>
      <c r="K91" s="30" t="inlineStr">
        <is>
          <t>Tabela TACO Unicamp</t>
        </is>
      </c>
      <c r="L91" s="18">
        <f>IF(A91="","",IF(AND(ISNUMBER(C91),C91&gt;0,COUNT(D91:H91)=5),"OK","Rever macros"))</f>
        <v/>
      </c>
      <c r="M91" s="18" t="n"/>
      <c r="O91" s="34" t="inlineStr">
        <is>
          <t>Referência cadastrada — não auditada nesta revisão</t>
        </is>
      </c>
    </row>
    <row r="92" ht="13.5" customHeight="1">
      <c r="A92" s="30" t="inlineStr">
        <is>
          <t>Espinafre cozido</t>
        </is>
      </c>
      <c r="B92" s="30" t="inlineStr">
        <is>
          <t>g</t>
        </is>
      </c>
      <c r="C92" s="35" t="n">
        <v>100</v>
      </c>
      <c r="D92" s="35" t="n">
        <v>16</v>
      </c>
      <c r="E92" s="35" t="n">
        <v>2.7</v>
      </c>
      <c r="F92" s="35" t="n">
        <v>2.6</v>
      </c>
      <c r="G92" s="35" t="n">
        <v>0.2</v>
      </c>
      <c r="H92" s="35" t="n">
        <v>2.1</v>
      </c>
      <c r="I92" s="30" t="inlineStr">
        <is>
          <t>TACO 4ª ed.; pelo nome</t>
        </is>
      </c>
      <c r="J92" s="30" t="inlineStr">
        <is>
          <t>Escorrido sem óleo</t>
        </is>
      </c>
      <c r="K92" s="30" t="inlineStr">
        <is>
          <t>Tabela TACO Unicamp</t>
        </is>
      </c>
      <c r="L92" s="18">
        <f>IF(A92="","",IF(AND(ISNUMBER(C92),C92&gt;0,COUNT(D92:H92)=5),"OK","Rever macros"))</f>
        <v/>
      </c>
      <c r="M92" s="18" t="n"/>
      <c r="O92" s="34" t="inlineStr">
        <is>
          <t>Referência cadastrada — não auditada nesta revisão</t>
        </is>
      </c>
    </row>
    <row r="93" ht="13.5" customHeight="1">
      <c r="A93" s="30" t="inlineStr">
        <is>
          <t>Pepino com casca</t>
        </is>
      </c>
      <c r="B93" s="30" t="inlineStr">
        <is>
          <t>g</t>
        </is>
      </c>
      <c r="C93" s="35" t="n">
        <v>100</v>
      </c>
      <c r="D93" s="35" t="n">
        <v>10</v>
      </c>
      <c r="E93" s="35" t="n">
        <v>0.9</v>
      </c>
      <c r="F93" s="35" t="n">
        <v>2</v>
      </c>
      <c r="G93" s="35" t="n">
        <v>0</v>
      </c>
      <c r="H93" s="35" t="n">
        <v>1.1</v>
      </c>
      <c r="I93" s="30" t="inlineStr">
        <is>
          <t>TACO 4ª ed.; pelo nome</t>
        </is>
      </c>
      <c r="J93" s="30" t="inlineStr">
        <is>
          <t>Cru fatiado</t>
        </is>
      </c>
      <c r="K93" s="30" t="inlineStr">
        <is>
          <t>Tabela TACO Unicamp</t>
        </is>
      </c>
      <c r="L93" s="18">
        <f>IF(A93="","",IF(AND(ISNUMBER(C93),C93&gt;0,COUNT(D93:H93)=5),"OK","Rever macros"))</f>
        <v/>
      </c>
      <c r="M93" s="18" t="n"/>
      <c r="O93" s="34" t="inlineStr">
        <is>
          <t>Referência cadastrada — não auditada nesta revisão</t>
        </is>
      </c>
    </row>
    <row r="94" ht="13.5" customHeight="1">
      <c r="A94" s="30" t="inlineStr">
        <is>
          <t>Couve manteiga refogada</t>
        </is>
      </c>
      <c r="B94" s="30" t="inlineStr">
        <is>
          <t>g</t>
        </is>
      </c>
      <c r="C94" s="35" t="n">
        <v>100</v>
      </c>
      <c r="D94" s="35" t="n">
        <v>90</v>
      </c>
      <c r="E94" s="35" t="n">
        <v>1.7</v>
      </c>
      <c r="F94" s="35" t="n">
        <v>8.699999999999999</v>
      </c>
      <c r="G94" s="35" t="n">
        <v>6.6</v>
      </c>
      <c r="H94" s="35" t="n">
        <v>3.1</v>
      </c>
      <c r="I94" s="30" t="inlineStr">
        <is>
          <t>TACO 4ª ed.; pelo nome</t>
        </is>
      </c>
      <c r="J94" s="30" t="inlineStr">
        <is>
          <t>Contabiliza óleo do refogado</t>
        </is>
      </c>
      <c r="K94" s="30" t="inlineStr">
        <is>
          <t>Tabela TACO Unicamp</t>
        </is>
      </c>
      <c r="L94" s="18">
        <f>IF(A94="","",IF(AND(ISNUMBER(C94),C94&gt;0,COUNT(D94:H94)=5),"OK","Rever macros"))</f>
        <v/>
      </c>
      <c r="M94" s="18" t="n"/>
      <c r="O94" s="34" t="inlineStr">
        <is>
          <t>Referência cadastrada — não auditada nesta revisão</t>
        </is>
      </c>
    </row>
    <row r="95" ht="13.5" customHeight="1">
      <c r="A95" s="30" t="inlineStr">
        <is>
          <t>Rúcula crua</t>
        </is>
      </c>
      <c r="B95" s="30" t="inlineStr">
        <is>
          <t>g</t>
        </is>
      </c>
      <c r="C95" s="35" t="n">
        <v>100</v>
      </c>
      <c r="D95" s="35" t="n">
        <v>13</v>
      </c>
      <c r="E95" s="35" t="n">
        <v>1.8</v>
      </c>
      <c r="F95" s="35" t="n">
        <v>2.2</v>
      </c>
      <c r="G95" s="35" t="n">
        <v>0.1</v>
      </c>
      <c r="H95" s="35" t="n">
        <v>1.7</v>
      </c>
      <c r="I95" s="30" t="inlineStr">
        <is>
          <t>TACO 4ª ed.; pelo nome</t>
        </is>
      </c>
      <c r="J95" s="30" t="inlineStr">
        <is>
          <t>Folhas cruas limpas</t>
        </is>
      </c>
      <c r="K95" s="30" t="inlineStr">
        <is>
          <t>Tabela TACO Unicamp</t>
        </is>
      </c>
      <c r="L95" s="18">
        <f>IF(A95="","",IF(AND(ISNUMBER(C95),C95&gt;0,COUNT(D95:H95)=5),"OK","Rever macros"))</f>
        <v/>
      </c>
      <c r="M95" s="18" t="n"/>
      <c r="O95" s="34" t="inlineStr">
        <is>
          <t>Referência cadastrada — não auditada nesta revisão</t>
        </is>
      </c>
    </row>
    <row r="96" ht="13.5" customHeight="1">
      <c r="A96" s="30" t="inlineStr">
        <is>
          <t>Repolho branco cru</t>
        </is>
      </c>
      <c r="B96" s="30" t="inlineStr">
        <is>
          <t>g</t>
        </is>
      </c>
      <c r="C96" s="35" t="n">
        <v>100</v>
      </c>
      <c r="D96" s="35" t="n">
        <v>17</v>
      </c>
      <c r="E96" s="35" t="n">
        <v>0.9</v>
      </c>
      <c r="F96" s="35" t="n">
        <v>3.9</v>
      </c>
      <c r="G96" s="35" t="n">
        <v>0.1</v>
      </c>
      <c r="H96" s="35" t="n">
        <v>1.9</v>
      </c>
      <c r="I96" s="30" t="inlineStr">
        <is>
          <t>TACO 4ª ed.; pelo nome</t>
        </is>
      </c>
      <c r="J96" s="30" t="inlineStr">
        <is>
          <t>Cru picado</t>
        </is>
      </c>
      <c r="K96" s="30" t="inlineStr">
        <is>
          <t>Tabela TACO Unicamp</t>
        </is>
      </c>
      <c r="L96" s="18">
        <f>IF(A96="","",IF(AND(ISNUMBER(C96),C96&gt;0,COUNT(D96:H96)=5),"OK","Rever macros"))</f>
        <v/>
      </c>
      <c r="M96" s="18" t="n"/>
      <c r="O96" s="34" t="inlineStr">
        <is>
          <t>Referência cadastrada — não auditada nesta revisão</t>
        </is>
      </c>
    </row>
    <row r="97" ht="13.5" customHeight="1">
      <c r="A97" s="30" t="inlineStr">
        <is>
          <t>Pimentão vermelho cru</t>
        </is>
      </c>
      <c r="B97" s="30" t="inlineStr">
        <is>
          <t>g</t>
        </is>
      </c>
      <c r="C97" s="35" t="n">
        <v>100</v>
      </c>
      <c r="D97" s="35" t="n">
        <v>23</v>
      </c>
      <c r="E97" s="35" t="n">
        <v>1</v>
      </c>
      <c r="F97" s="35" t="n">
        <v>5.5</v>
      </c>
      <c r="G97" s="35" t="n">
        <v>0.1</v>
      </c>
      <c r="H97" s="35" t="n">
        <v>1.6</v>
      </c>
      <c r="I97" s="30" t="inlineStr">
        <is>
          <t>TACO 4ª ed.; pelo nome</t>
        </is>
      </c>
      <c r="J97" s="30" t="inlineStr">
        <is>
          <t>Sem sementes</t>
        </is>
      </c>
      <c r="K97" s="30" t="inlineStr">
        <is>
          <t>Tabela TACO Unicamp</t>
        </is>
      </c>
      <c r="L97" s="18">
        <f>IF(A97="","",IF(AND(ISNUMBER(C97),C97&gt;0,COUNT(D97:H97)=5),"OK","Rever macros"))</f>
        <v/>
      </c>
      <c r="M97" s="18" t="n"/>
      <c r="O97" s="34" t="inlineStr">
        <is>
          <t>Referência cadastrada — não auditada nesta revisão</t>
        </is>
      </c>
    </row>
    <row r="98" ht="13.5" customHeight="1">
      <c r="A98" s="30" t="inlineStr">
        <is>
          <t>Pasta de amendoim integral</t>
        </is>
      </c>
      <c r="B98" s="30" t="inlineStr">
        <is>
          <t>g</t>
        </is>
      </c>
      <c r="C98" s="35" t="n">
        <v>100</v>
      </c>
      <c r="D98" s="35" t="n">
        <v>588</v>
      </c>
      <c r="E98" s="35" t="n">
        <v>25</v>
      </c>
      <c r="F98" s="35" t="n">
        <v>20</v>
      </c>
      <c r="G98" s="35" t="n">
        <v>50</v>
      </c>
      <c r="H98" s="35" t="n">
        <v>6</v>
      </c>
      <c r="I98" s="30" t="inlineStr">
        <is>
          <t>Estimativa genérica</t>
        </is>
      </c>
      <c r="J98" s="30" t="inlineStr">
        <is>
          <t>100% amendoim puro</t>
        </is>
      </c>
      <c r="K98" s="30" t="inlineStr">
        <is>
          <t>Conferir rótulo / estimativa</t>
        </is>
      </c>
      <c r="L98" s="18">
        <f>IF(A98="","",IF(AND(ISNUMBER(C98),C98&gt;0,COUNT(D98:H98)=5),"OK","Rever macros"))</f>
        <v/>
      </c>
      <c r="M98" s="18" t="n"/>
      <c r="O98" s="34" t="inlineStr">
        <is>
          <t>Estimativa — conferir rótulo</t>
        </is>
      </c>
    </row>
    <row r="99" ht="13.5" customHeight="1">
      <c r="A99" s="30" t="inlineStr">
        <is>
          <t>Amendoim torrado sem sal</t>
        </is>
      </c>
      <c r="B99" s="30" t="inlineStr">
        <is>
          <t>g</t>
        </is>
      </c>
      <c r="C99" s="35" t="n">
        <v>100</v>
      </c>
      <c r="D99" s="35" t="n">
        <v>544</v>
      </c>
      <c r="E99" s="35" t="n">
        <v>22.5</v>
      </c>
      <c r="F99" s="35" t="n">
        <v>20.3</v>
      </c>
      <c r="G99" s="35" t="n">
        <v>43.9</v>
      </c>
      <c r="H99" s="35" t="n">
        <v>8</v>
      </c>
      <c r="I99" s="30" t="inlineStr">
        <is>
          <t>TACO 4ª ed.; pelo nome</t>
        </is>
      </c>
      <c r="J99" s="30" t="inlineStr">
        <is>
          <t>Grãos sem casca</t>
        </is>
      </c>
      <c r="K99" s="30" t="inlineStr">
        <is>
          <t>Tabela TACO Unicamp</t>
        </is>
      </c>
      <c r="L99" s="18">
        <f>IF(A99="","",IF(AND(ISNUMBER(C99),C99&gt;0,COUNT(D99:H99)=5),"OK","Rever macros"))</f>
        <v/>
      </c>
      <c r="M99" s="18" t="n"/>
      <c r="O99" s="34" t="inlineStr">
        <is>
          <t>Referência cadastrada — não auditada nesta revisão</t>
        </is>
      </c>
    </row>
    <row r="100" ht="13.5" customHeight="1">
      <c r="A100" s="30" t="inlineStr">
        <is>
          <t>Castanha-de-caju torrada</t>
        </is>
      </c>
      <c r="B100" s="30" t="inlineStr">
        <is>
          <t>g</t>
        </is>
      </c>
      <c r="C100" s="35" t="n">
        <v>100</v>
      </c>
      <c r="D100" s="35" t="n">
        <v>570</v>
      </c>
      <c r="E100" s="35" t="n">
        <v>18.5</v>
      </c>
      <c r="F100" s="35" t="n">
        <v>29.1</v>
      </c>
      <c r="G100" s="35" t="n">
        <v>46.3</v>
      </c>
      <c r="H100" s="35" t="n">
        <v>3.7</v>
      </c>
      <c r="I100" s="30" t="inlineStr">
        <is>
          <t>TACO 4ª ed.; pelo nome</t>
        </is>
      </c>
      <c r="J100" s="30" t="inlineStr">
        <is>
          <t>Sem sal</t>
        </is>
      </c>
      <c r="K100" s="30" t="inlineStr">
        <is>
          <t>Tabela TACO Unicamp</t>
        </is>
      </c>
      <c r="L100" s="18">
        <f>IF(A100="","",IF(AND(ISNUMBER(C100),C100&gt;0,COUNT(D100:H100)=5),"OK","Rever macros"))</f>
        <v/>
      </c>
      <c r="M100" s="18" t="n"/>
      <c r="O100" s="34" t="inlineStr">
        <is>
          <t>Referência cadastrada — não auditada nesta revisão</t>
        </is>
      </c>
    </row>
    <row r="101" ht="13.5" customHeight="1">
      <c r="A101" s="30" t="inlineStr">
        <is>
          <t>Castanha-do-pará</t>
        </is>
      </c>
      <c r="B101" s="30" t="inlineStr">
        <is>
          <t>g</t>
        </is>
      </c>
      <c r="C101" s="35" t="n">
        <v>100</v>
      </c>
      <c r="D101" s="35" t="n">
        <v>643</v>
      </c>
      <c r="E101" s="35" t="n">
        <v>14.5</v>
      </c>
      <c r="F101" s="35" t="n">
        <v>15.1</v>
      </c>
      <c r="G101" s="35" t="n">
        <v>63.5</v>
      </c>
      <c r="H101" s="35" t="n">
        <v>7.9</v>
      </c>
      <c r="I101" s="30" t="inlineStr">
        <is>
          <t>TACO 4ª ed.; pelo nome</t>
        </is>
      </c>
      <c r="J101" s="30" t="inlineStr">
        <is>
          <t>Crua; cerca de 4 a 5 g por unidade</t>
        </is>
      </c>
      <c r="K101" s="30" t="inlineStr">
        <is>
          <t>Tabela TACO Unicamp</t>
        </is>
      </c>
      <c r="L101" s="18">
        <f>IF(A101="","",IF(AND(ISNUMBER(C101),C101&gt;0,COUNT(D101:H101)=5),"OK","Rever macros"))</f>
        <v/>
      </c>
      <c r="M101" s="18" t="n"/>
      <c r="O101" s="34" t="inlineStr">
        <is>
          <t>Referência cadastrada — não auditada nesta revisão</t>
        </is>
      </c>
    </row>
    <row r="102" ht="13.5" customHeight="1">
      <c r="A102" s="30" t="inlineStr">
        <is>
          <t>Nozes cruas</t>
        </is>
      </c>
      <c r="B102" s="30" t="inlineStr">
        <is>
          <t>g</t>
        </is>
      </c>
      <c r="C102" s="35" t="n">
        <v>100</v>
      </c>
      <c r="D102" s="35" t="n">
        <v>620</v>
      </c>
      <c r="E102" s="35" t="n">
        <v>14</v>
      </c>
      <c r="F102" s="35" t="n">
        <v>18.4</v>
      </c>
      <c r="G102" s="35" t="n">
        <v>59.4</v>
      </c>
      <c r="H102" s="35" t="n">
        <v>7.2</v>
      </c>
      <c r="I102" s="30" t="inlineStr">
        <is>
          <t>TACO 4ª ed.; pelo nome</t>
        </is>
      </c>
      <c r="J102" s="30" t="inlineStr">
        <is>
          <t>Parte comestível</t>
        </is>
      </c>
      <c r="K102" s="30" t="inlineStr">
        <is>
          <t>Tabela TACO Unicamp</t>
        </is>
      </c>
      <c r="L102" s="18">
        <f>IF(A102="","",IF(AND(ISNUMBER(C102),C102&gt;0,COUNT(D102:H102)=5),"OK","Rever macros"))</f>
        <v/>
      </c>
      <c r="M102" s="18" t="n"/>
      <c r="O102" s="34" t="inlineStr">
        <is>
          <t>Referência cadastrada — não auditada nesta revisão</t>
        </is>
      </c>
    </row>
    <row r="103" ht="13.5" customHeight="1">
      <c r="A103" s="30" t="inlineStr">
        <is>
          <t>Manteiga sem sal</t>
        </is>
      </c>
      <c r="B103" s="30" t="inlineStr">
        <is>
          <t>g</t>
        </is>
      </c>
      <c r="C103" s="35" t="n">
        <v>100</v>
      </c>
      <c r="D103" s="35" t="n">
        <v>726</v>
      </c>
      <c r="E103" s="35" t="n">
        <v>0.4</v>
      </c>
      <c r="F103" s="35" t="n">
        <v>0</v>
      </c>
      <c r="G103" s="35" t="n">
        <v>82.40000000000001</v>
      </c>
      <c r="H103" s="35" t="n">
        <v>0</v>
      </c>
      <c r="I103" s="30" t="inlineStr">
        <is>
          <t>TACO 4ª ed.; pelo nome</t>
        </is>
      </c>
      <c r="J103" s="30" t="inlineStr">
        <is>
          <t>Pesar porção ou colher</t>
        </is>
      </c>
      <c r="K103" s="30" t="inlineStr">
        <is>
          <t>Tabela TACO Unicamp</t>
        </is>
      </c>
      <c r="L103" s="18">
        <f>IF(A103="","",IF(AND(ISNUMBER(C103),C103&gt;0,COUNT(D103:H103)=5),"OK","Rever macros"))</f>
        <v/>
      </c>
      <c r="M103" s="18" t="n"/>
      <c r="O103" s="34" t="inlineStr">
        <is>
          <t>Referência cadastrada — não auditada nesta revisão</t>
        </is>
      </c>
    </row>
    <row r="104" ht="13.5" customHeight="1">
      <c r="A104" s="30" t="inlineStr">
        <is>
          <t>Óleo de soja</t>
        </is>
      </c>
      <c r="B104" s="30" t="inlineStr">
        <is>
          <t>g</t>
        </is>
      </c>
      <c r="C104" s="35" t="n">
        <v>100</v>
      </c>
      <c r="D104" s="35" t="n">
        <v>884</v>
      </c>
      <c r="E104" s="35" t="n">
        <v>0</v>
      </c>
      <c r="F104" s="35" t="n">
        <v>0</v>
      </c>
      <c r="G104" s="35" t="n">
        <v>100</v>
      </c>
      <c r="H104" s="35" t="n">
        <v>0</v>
      </c>
      <c r="I104" s="30" t="inlineStr">
        <is>
          <t>TACO 4ª ed.; pelo nome</t>
        </is>
      </c>
      <c r="J104" s="30" t="inlineStr">
        <is>
          <t>Pesar óleo de cozimento</t>
        </is>
      </c>
      <c r="K104" s="30" t="inlineStr">
        <is>
          <t>Tabela TACO Unicamp</t>
        </is>
      </c>
      <c r="L104" s="18">
        <f>IF(A104="","",IF(AND(ISNUMBER(C104),C104&gt;0,COUNT(D104:H104)=5),"OK","Rever macros"))</f>
        <v/>
      </c>
      <c r="M104" s="18" t="n"/>
      <c r="O104" s="34" t="inlineStr">
        <is>
          <t>Referência cadastrada — não auditada nesta revisão</t>
        </is>
      </c>
    </row>
    <row r="105" ht="13.5" customHeight="1">
      <c r="A105" s="30" t="inlineStr">
        <is>
          <t>Óleo de coco</t>
        </is>
      </c>
      <c r="B105" s="30" t="inlineStr">
        <is>
          <t>g</t>
        </is>
      </c>
      <c r="C105" s="35" t="n">
        <v>100</v>
      </c>
      <c r="D105" s="35" t="n">
        <v>892</v>
      </c>
      <c r="E105" s="35" t="n">
        <v>0</v>
      </c>
      <c r="F105" s="35" t="n">
        <v>0</v>
      </c>
      <c r="G105" s="35" t="n">
        <v>99.09999999999999</v>
      </c>
      <c r="H105" s="35" t="n">
        <v>0</v>
      </c>
      <c r="I105" s="30" t="inlineStr">
        <is>
          <t>Estimativa genérica</t>
        </is>
      </c>
      <c r="J105" s="30" t="inlineStr">
        <is>
          <t>Pesar porção</t>
        </is>
      </c>
      <c r="K105" s="30" t="inlineStr">
        <is>
          <t>Conferir rótulo / estimativa</t>
        </is>
      </c>
      <c r="L105" s="18">
        <f>IF(A105="","",IF(AND(ISNUMBER(C105),C105&gt;0,COUNT(D105:H105)=5),"OK","Rever macros"))</f>
        <v/>
      </c>
      <c r="M105" s="18" t="n"/>
      <c r="O105" s="34" t="inlineStr">
        <is>
          <t>Estimativa — conferir rótulo</t>
        </is>
      </c>
    </row>
    <row r="106" ht="13.5" customHeight="1">
      <c r="A106" s="30" t="inlineStr">
        <is>
          <t>Semente de chia</t>
        </is>
      </c>
      <c r="B106" s="30" t="inlineStr">
        <is>
          <t>g</t>
        </is>
      </c>
      <c r="C106" s="35" t="n">
        <v>100</v>
      </c>
      <c r="D106" s="35" t="n">
        <v>486</v>
      </c>
      <c r="E106" s="35" t="n">
        <v>16.5</v>
      </c>
      <c r="F106" s="35" t="n">
        <v>42.1</v>
      </c>
      <c r="G106" s="35" t="n">
        <v>30.7</v>
      </c>
      <c r="H106" s="35" t="n">
        <v>34.4</v>
      </c>
      <c r="I106" s="30" t="inlineStr">
        <is>
          <t>Estimativa genérica</t>
        </is>
      </c>
      <c r="J106" s="30" t="inlineStr">
        <is>
          <t>Pesar sementes secas</t>
        </is>
      </c>
      <c r="K106" s="30" t="inlineStr">
        <is>
          <t>Conferir rótulo / estimativa</t>
        </is>
      </c>
      <c r="L106" s="18">
        <f>IF(A106="","",IF(AND(ISNUMBER(C106),C106&gt;0,COUNT(D106:H106)=5),"OK","Rever macros"))</f>
        <v/>
      </c>
      <c r="M106" s="18" t="n"/>
      <c r="O106" s="34" t="inlineStr">
        <is>
          <t>Estimativa — conferir rótulo</t>
        </is>
      </c>
    </row>
    <row r="107" ht="13.5" customHeight="1">
      <c r="A107" s="30" t="inlineStr">
        <is>
          <t>Semente de linhaça dourada</t>
        </is>
      </c>
      <c r="B107" s="30" t="inlineStr">
        <is>
          <t>g</t>
        </is>
      </c>
      <c r="C107" s="35" t="n">
        <v>100</v>
      </c>
      <c r="D107" s="35" t="n">
        <v>495</v>
      </c>
      <c r="E107" s="35" t="n">
        <v>14.1</v>
      </c>
      <c r="F107" s="35" t="n">
        <v>43.3</v>
      </c>
      <c r="G107" s="35" t="n">
        <v>32.3</v>
      </c>
      <c r="H107" s="35" t="n">
        <v>33.5</v>
      </c>
      <c r="I107" s="30" t="inlineStr">
        <is>
          <t>TACO 4ª ed.; pelo nome</t>
        </is>
      </c>
      <c r="J107" s="30" t="inlineStr">
        <is>
          <t>Pesar sementes secas</t>
        </is>
      </c>
      <c r="K107" s="30" t="inlineStr">
        <is>
          <t>Tabela TACO Unicamp</t>
        </is>
      </c>
      <c r="L107" s="18">
        <f>IF(A107="","",IF(AND(ISNUMBER(C107),C107&gt;0,COUNT(D107:H107)=5),"OK","Rever macros"))</f>
        <v/>
      </c>
      <c r="M107" s="18" t="n"/>
      <c r="O107" s="34" t="inlineStr">
        <is>
          <t>Referência cadastrada — não auditada nesta revisão</t>
        </is>
      </c>
    </row>
    <row r="108" ht="13.5" customHeight="1">
      <c r="A108" s="30" t="inlineStr">
        <is>
          <t>Whey Protein Concentrado 80%</t>
        </is>
      </c>
      <c r="B108" s="30" t="inlineStr">
        <is>
          <t>g</t>
        </is>
      </c>
      <c r="C108" s="35" t="n">
        <v>100</v>
      </c>
      <c r="D108" s="35" t="n">
        <v>400</v>
      </c>
      <c r="E108" s="35" t="n">
        <v>80</v>
      </c>
      <c r="F108" s="35" t="n">
        <v>6.7</v>
      </c>
      <c r="G108" s="35" t="n">
        <v>6.7</v>
      </c>
      <c r="H108" s="35" t="n">
        <v>0</v>
      </c>
      <c r="I108" s="30" t="inlineStr">
        <is>
          <t>Estimativa genérica</t>
        </is>
      </c>
      <c r="J108" s="30" t="inlineStr">
        <is>
          <t>Pó puro; 30 g tem aprox. 24 g prot</t>
        </is>
      </c>
      <c r="K108" s="30" t="inlineStr">
        <is>
          <t>Conferir rótulo / estimativa</t>
        </is>
      </c>
      <c r="L108" s="18">
        <f>IF(A108="","",IF(AND(ISNUMBER(C108),C108&gt;0,COUNT(D108:H108)=5),"OK","Rever macros"))</f>
        <v/>
      </c>
      <c r="M108" s="18" t="n"/>
      <c r="O108" s="34" t="inlineStr">
        <is>
          <t>Estimativa — conferir rótulo</t>
        </is>
      </c>
    </row>
    <row r="109" ht="13.5" customHeight="1">
      <c r="A109" s="30" t="inlineStr">
        <is>
          <t>Whey Protein Isolado 90%</t>
        </is>
      </c>
      <c r="B109" s="30" t="inlineStr">
        <is>
          <t>g</t>
        </is>
      </c>
      <c r="C109" s="35" t="n">
        <v>100</v>
      </c>
      <c r="D109" s="35" t="n">
        <v>365</v>
      </c>
      <c r="E109" s="35" t="n">
        <v>90</v>
      </c>
      <c r="F109" s="35" t="n">
        <v>1.5</v>
      </c>
      <c r="G109" s="35" t="n">
        <v>0</v>
      </c>
      <c r="H109" s="35" t="n">
        <v>0</v>
      </c>
      <c r="I109" s="30" t="inlineStr">
        <is>
          <t>Estimativa genérica</t>
        </is>
      </c>
      <c r="J109" s="30" t="inlineStr">
        <is>
          <t>Pó puro; 30 g tem aprox. 27 g prot</t>
        </is>
      </c>
      <c r="K109" s="30" t="inlineStr">
        <is>
          <t>Conferir rótulo / estimativa</t>
        </is>
      </c>
      <c r="L109" s="18">
        <f>IF(A109="","",IF(AND(ISNUMBER(C109),C109&gt;0,COUNT(D109:H109)=5),"OK","Rever macros"))</f>
        <v/>
      </c>
      <c r="M109" s="18" t="n"/>
      <c r="O109" s="34" t="inlineStr">
        <is>
          <t>Estimativa — conferir rótulo</t>
        </is>
      </c>
    </row>
    <row r="110" ht="13.5" customHeight="1">
      <c r="A110" s="30" t="inlineStr">
        <is>
          <t>Albumina em pó</t>
        </is>
      </c>
      <c r="B110" s="30" t="inlineStr">
        <is>
          <t>g</t>
        </is>
      </c>
      <c r="C110" s="35" t="n">
        <v>100</v>
      </c>
      <c r="D110" s="35" t="n">
        <v>375</v>
      </c>
      <c r="E110" s="35" t="n">
        <v>80</v>
      </c>
      <c r="F110" s="35" t="n">
        <v>5</v>
      </c>
      <c r="G110" s="35" t="n">
        <v>0</v>
      </c>
      <c r="H110" s="35" t="n">
        <v>0</v>
      </c>
      <c r="I110" s="30" t="inlineStr">
        <is>
          <t>Estimativa genérica</t>
        </is>
      </c>
      <c r="J110" s="30" t="inlineStr">
        <is>
          <t>Pó puro</t>
        </is>
      </c>
      <c r="K110" s="30" t="inlineStr">
        <is>
          <t>Conferir rótulo / estimativa</t>
        </is>
      </c>
      <c r="L110" s="18">
        <f>IF(A110="","",IF(AND(ISNUMBER(C110),C110&gt;0,COUNT(D110:H110)=5),"OK","Rever macros"))</f>
        <v/>
      </c>
      <c r="M110" s="18" t="n"/>
      <c r="O110" s="34" t="inlineStr">
        <is>
          <t>Estimativa — conferir rótulo</t>
        </is>
      </c>
    </row>
    <row r="111" ht="13.5" customHeight="1">
      <c r="A111" s="30" t="inlineStr">
        <is>
          <t>Creatina monohidratada</t>
        </is>
      </c>
      <c r="B111" s="30" t="inlineStr">
        <is>
          <t>g</t>
        </is>
      </c>
      <c r="C111" s="35" t="n">
        <v>100</v>
      </c>
      <c r="D111" s="35" t="n">
        <v>0</v>
      </c>
      <c r="E111" s="35" t="n">
        <v>0</v>
      </c>
      <c r="F111" s="35" t="n">
        <v>0</v>
      </c>
      <c r="G111" s="35" t="n">
        <v>0</v>
      </c>
      <c r="H111" s="35" t="n">
        <v>0</v>
      </c>
      <c r="I111" s="30" t="inlineStr">
        <is>
          <t>Estimativa genérica</t>
        </is>
      </c>
      <c r="J111" s="30" t="inlineStr">
        <is>
          <t>Pó; dosagem comum 3 a 5 g/dia</t>
        </is>
      </c>
      <c r="K111" s="30" t="inlineStr">
        <is>
          <t>Conferir rótulo / estimativa</t>
        </is>
      </c>
      <c r="L111" s="18">
        <f>IF(A111="","",IF(AND(ISNUMBER(C111),C111&gt;0,COUNT(D111:H111)=5),"OK","Rever macros"))</f>
        <v/>
      </c>
      <c r="M111" s="18" t="n"/>
      <c r="O111" s="34" t="inlineStr">
        <is>
          <t>Estimativa — conferir rótulo</t>
        </is>
      </c>
    </row>
    <row r="112" ht="13.5" customHeight="1">
      <c r="A112" s="30" t="inlineStr">
        <is>
          <t>Maltodextrina</t>
        </is>
      </c>
      <c r="B112" s="30" t="inlineStr">
        <is>
          <t>g</t>
        </is>
      </c>
      <c r="C112" s="35" t="n">
        <v>100</v>
      </c>
      <c r="D112" s="35" t="n">
        <v>380</v>
      </c>
      <c r="E112" s="35" t="n">
        <v>0</v>
      </c>
      <c r="F112" s="35" t="n">
        <v>95</v>
      </c>
      <c r="G112" s="35" t="n">
        <v>0</v>
      </c>
      <c r="H112" s="35" t="n">
        <v>0</v>
      </c>
      <c r="I112" s="30" t="inlineStr">
        <is>
          <t>Estimativa genérica</t>
        </is>
      </c>
      <c r="J112" s="30" t="inlineStr">
        <is>
          <t>Pó; carboidrato puro</t>
        </is>
      </c>
      <c r="K112" s="30" t="inlineStr">
        <is>
          <t>Conferir rótulo / estimativa</t>
        </is>
      </c>
      <c r="L112" s="18">
        <f>IF(A112="","",IF(AND(ISNUMBER(C112),C112&gt;0,COUNT(D112:H112)=5),"OK","Rever macros"))</f>
        <v/>
      </c>
      <c r="M112" s="18" t="n"/>
      <c r="O112" s="34" t="inlineStr">
        <is>
          <t>Estimativa — conferir rótulo</t>
        </is>
      </c>
    </row>
    <row r="113" ht="13.5" customHeight="1">
      <c r="A113" s="30" t="inlineStr">
        <is>
          <t>Mel de abelha</t>
        </is>
      </c>
      <c r="B113" s="30" t="inlineStr">
        <is>
          <t>g</t>
        </is>
      </c>
      <c r="C113" s="35" t="n">
        <v>100</v>
      </c>
      <c r="D113" s="35" t="n">
        <v>309</v>
      </c>
      <c r="E113" s="35" t="n">
        <v>0</v>
      </c>
      <c r="F113" s="35" t="n">
        <v>84</v>
      </c>
      <c r="G113" s="35" t="n">
        <v>0</v>
      </c>
      <c r="H113" s="35" t="n">
        <v>0</v>
      </c>
      <c r="I113" s="30" t="inlineStr">
        <is>
          <t>TACO 4ª ed.; pelo nome</t>
        </is>
      </c>
      <c r="J113" s="30" t="inlineStr">
        <is>
          <t>Líquido/pastoso; 1 colher sopa aprox 15-20g</t>
        </is>
      </c>
      <c r="K113" s="30" t="inlineStr">
        <is>
          <t>Tabela TACO Unicamp</t>
        </is>
      </c>
      <c r="L113" s="18">
        <f>IF(A113="","",IF(AND(ISNUMBER(C113),C113&gt;0,COUNT(D113:H113)=5),"OK","Rever macros"))</f>
        <v/>
      </c>
      <c r="M113" s="18" t="n"/>
      <c r="O113" s="34" t="inlineStr">
        <is>
          <t>Referência cadastrada — não auditada nesta revisão</t>
        </is>
      </c>
    </row>
    <row r="114" ht="13.5" customHeight="1">
      <c r="A114" s="30" t="inlineStr">
        <is>
          <t>Doce de leite tradicional</t>
        </is>
      </c>
      <c r="B114" s="30" t="inlineStr">
        <is>
          <t>g</t>
        </is>
      </c>
      <c r="C114" s="35" t="n">
        <v>100</v>
      </c>
      <c r="D114" s="35" t="n">
        <v>315</v>
      </c>
      <c r="E114" s="35" t="n">
        <v>5.5</v>
      </c>
      <c r="F114" s="35" t="n">
        <v>59.5</v>
      </c>
      <c r="G114" s="35" t="n">
        <v>6</v>
      </c>
      <c r="H114" s="35" t="n">
        <v>0</v>
      </c>
      <c r="I114" s="30" t="inlineStr">
        <is>
          <t>TACO 4ª ed.; pelo nome</t>
        </is>
      </c>
      <c r="J114" s="30" t="inlineStr">
        <is>
          <t>Pesar colher</t>
        </is>
      </c>
      <c r="K114" s="30" t="inlineStr">
        <is>
          <t>Tabela TACO Unicamp</t>
        </is>
      </c>
      <c r="L114" s="18">
        <f>IF(A114="","",IF(AND(ISNUMBER(C114),C114&gt;0,COUNT(D114:H114)=5),"OK","Rever macros"))</f>
        <v/>
      </c>
      <c r="M114" s="18" t="n"/>
      <c r="O114" s="34" t="inlineStr">
        <is>
          <t>Referência cadastrada — não auditada nesta revisão</t>
        </is>
      </c>
    </row>
    <row r="115" ht="13.5" customHeight="1">
      <c r="A115" s="30" t="inlineStr">
        <is>
          <t>Ovo inteiro cru</t>
        </is>
      </c>
      <c r="B115" s="30" t="inlineStr">
        <is>
          <t>g</t>
        </is>
      </c>
      <c r="C115" s="35" t="n">
        <v>100</v>
      </c>
      <c r="D115" s="35" t="n">
        <v>143</v>
      </c>
      <c r="E115" s="35" t="n">
        <v>13</v>
      </c>
      <c r="F115" s="35" t="n">
        <v>1.6</v>
      </c>
      <c r="G115" s="35" t="n">
        <v>8.9</v>
      </c>
      <c r="H115" s="35" t="n">
        <v>0</v>
      </c>
      <c r="I115" s="30" t="inlineStr">
        <is>
          <t>TACO 4ª ed.; pelo nome</t>
        </is>
      </c>
      <c r="J115" s="30" t="inlineStr">
        <is>
          <t>Quebrar cru na balança (sem casca); ~50 g por ovo</t>
        </is>
      </c>
      <c r="K115" s="30" t="inlineStr">
        <is>
          <t>Tabela TACO Unicamp</t>
        </is>
      </c>
      <c r="L115" s="18">
        <f>IF(A115="","",IF(AND(ISNUMBER(C115),C115&gt;0,COUNT(D115:H115)=5),"OK","Rever macros"))</f>
        <v/>
      </c>
      <c r="M115" s="18" t="inlineStr">
        <is>
          <t>un</t>
        </is>
      </c>
      <c r="N115" s="34" t="n">
        <v>50</v>
      </c>
      <c r="O115" s="34" t="inlineStr">
        <is>
          <t>Referência cadastrada — não auditada nesta revisão</t>
        </is>
      </c>
    </row>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dataValidations count="3">
    <dataValidation sqref="B6:B1000" showDropDown="0" showInputMessage="0" showErrorMessage="1" allowBlank="1" type="list">
      <formula1>"g,ml"</formula1>
    </dataValidation>
    <dataValidation sqref="C6:C115" showDropDown="0" showInputMessage="0" showErrorMessage="0" allowBlank="1" type="decimal" operator="between">
      <formula1>0.01</formula1>
      <formula2>10000</formula2>
    </dataValidation>
    <dataValidation sqref="D6:H115" showDropDown="0" showInputMessage="0" showErrorMessage="0" allowBlank="1" type="decimal" operator="between">
      <formula1>0</formula1>
      <formula2>10000</formula2>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42"/>
  <sheetViews>
    <sheetView showGridLines="0" workbookViewId="0">
      <pane ySplit="5" topLeftCell="A6" activePane="bottomLeft" state="frozen"/>
      <selection pane="bottomLeft" activeCell="A1" sqref="A1"/>
    </sheetView>
  </sheetViews>
  <sheetFormatPr baseColWidth="8" defaultRowHeight="15"/>
  <cols>
    <col width="25.01" customWidth="1" min="1" max="1"/>
    <col width="112.03" customWidth="1" min="2" max="2"/>
    <col width="90.05" customWidth="1" min="3" max="3"/>
    <col width="8.59" customWidth="1" min="4" max="4"/>
    <col width="8.59" customWidth="1" min="5" max="5"/>
    <col width="8.59" customWidth="1" min="6" max="6"/>
    <col width="8.59" customWidth="1" min="7" max="7"/>
    <col width="8.59" customWidth="1" min="8" max="8"/>
    <col width="8.59" customWidth="1" min="9" max="9"/>
    <col width="8.59" customWidth="1" min="10" max="10"/>
    <col width="8.59" customWidth="1" min="11" max="11"/>
    <col width="8.59" customWidth="1" min="12" max="12"/>
    <col width="8.59" customWidth="1" min="13" max="13"/>
    <col width="8.59" customWidth="1" min="14" max="14"/>
    <col width="8.59"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s>
  <sheetData>
    <row r="1" ht="21.75" customHeight="1">
      <c r="A1" s="18" t="n"/>
      <c r="B1" s="18" t="n"/>
      <c r="C1" s="18" t="n"/>
    </row>
    <row r="2" ht="21.75" customHeight="1">
      <c r="A2" s="19" t="inlineStr">
        <is>
          <t>Como usar e referências</t>
        </is>
      </c>
      <c r="B2" s="18" t="n"/>
      <c r="C2" s="18" t="n"/>
    </row>
    <row r="3" ht="21.75" customHeight="1">
      <c r="A3" s="20" t="inlineStr">
        <is>
          <t>Orientações gerais. Nomes, rotinas e metas vêm da Config e das abas de histórico.</t>
        </is>
      </c>
      <c r="B3" s="18" t="n"/>
      <c r="C3" s="18" t="n"/>
    </row>
    <row r="4" ht="21.75" customHeight="1">
      <c r="A4" s="18" t="n"/>
      <c r="B4" s="18" t="n"/>
      <c r="C4" s="18" t="n"/>
    </row>
    <row r="5" ht="37.5" customHeight="1">
      <c r="A5" s="21" t="inlineStr">
        <is>
          <t>Tema</t>
        </is>
      </c>
      <c r="B5" s="21" t="inlineStr">
        <is>
          <t>Orientação prática</t>
        </is>
      </c>
      <c r="C5" s="21" t="inlineStr">
        <is>
          <t>Fonte / localização</t>
        </is>
      </c>
    </row>
    <row r="6" ht="48" customHeight="1">
      <c r="A6" s="18" t="inlineStr">
        <is>
          <t>Uso diário</t>
        </is>
      </c>
      <c r="B6" s="42" t="inlineStr">
        <is>
          <t>Abra Hoje, confira a data e use o menu Projeto. Campos não informados podem ficar vazios.</t>
        </is>
      </c>
      <c r="C6" s="42" t="inlineStr">
        <is>
          <t>Salvar indicadores preserva zero e não preenche ausências.</t>
        </is>
      </c>
    </row>
    <row r="7" ht="48" customHeight="1">
      <c r="A7" s="18" t="inlineStr">
        <is>
          <t>Favoritas pessoais</t>
        </is>
      </c>
      <c r="B7" s="42" t="inlineStr">
        <is>
          <t>Começam vazias. Registre uma refeição sua e use Projeto → Alimentação → Criar favorita com a refeição de hoje.</t>
        </is>
      </c>
      <c r="C7" s="42" t="inlineStr">
        <is>
          <t>O cadastro de favorita não lança consumo.</t>
        </is>
      </c>
    </row>
    <row r="8" ht="48" customHeight="1">
      <c r="A8" s="18" t="inlineStr">
        <is>
          <t>Copiar alimentação</t>
        </is>
      </c>
      <c r="B8" s="42" t="inlineStr">
        <is>
          <t>Copie a refeição ou dia que realmente repetiu. Use Alimentação para editar quantidade ou remover item pelo menu.</t>
        </is>
      </c>
      <c r="C8" s="42" t="inlineStr">
        <is>
          <t>Repetir a mesma cópia é bloqueado; alterações ficam auditadas.</t>
        </is>
      </c>
    </row>
    <row r="9" ht="48" customHeight="1">
      <c r="A9" s="18" t="inlineStr">
        <is>
          <t>Treino</t>
        </is>
      </c>
      <c r="B9" s="42" t="inlineStr">
        <is>
          <t>Carregue uma sessão, registre somente o que fez e salve parcial ou conclua.</t>
        </is>
      </c>
      <c r="C9" s="42" t="inlineStr">
        <is>
          <t>Aquecimento + feeder de 6 reps + 2 work sets 6–10, 0–1 RIR.</t>
        </is>
      </c>
    </row>
    <row r="10" ht="48" customHeight="1">
      <c r="A10" s="18" t="inlineStr">
        <is>
          <t>Dia completo</t>
        </is>
      </c>
      <c r="B10" s="42" t="inlineStr">
        <is>
          <t>Registrou tudo? significa completude do registro, mesmo se comeu fora do plano.</t>
        </is>
      </c>
      <c r="C10" s="42" t="inlineStr">
        <is>
          <t>Dias parciais e itens sem cálculo não entram como dia alimentar completo calculável.</t>
        </is>
      </c>
    </row>
    <row r="11" ht="48" customHeight="1">
      <c r="A11" s="18" t="inlineStr">
        <is>
          <t>Metas</t>
        </is>
      </c>
      <c r="B11" s="42" t="inlineStr">
        <is>
          <t>Nova meta cria uma vigência. Valores já salvos no Diário são preservados.</t>
        </is>
      </c>
      <c r="C11" s="42" t="inlineStr">
        <is>
          <t>As metas já existentes seguem vigentes; campos opcionais de medidas podem ficar vazios.</t>
        </is>
      </c>
    </row>
    <row r="12" ht="48" customHeight="1">
      <c r="A12" s="18" t="inlineStr">
        <is>
          <t>Ficha vigente</t>
        </is>
      </c>
      <c r="B12" s="42" t="inlineStr">
        <is>
          <t>F002 contém a ficha enviada por Luan em 28/09/2026. F001 foi preservada.</t>
        </is>
      </c>
      <c r="C12" s="42" t="inlineStr">
        <is>
          <t>Use Salvar nova ficha para alterações futuras.</t>
        </is>
      </c>
    </row>
    <row r="13" ht="48" customHeight="1">
      <c r="A13" s="18" t="inlineStr">
        <is>
          <t>Unidades</t>
        </is>
      </c>
      <c r="B13" s="42" t="inlineStr">
        <is>
          <t>g, mg e kg convertem entre si; ml e l entre si. un/fatia exigem M/N em Alimentos.</t>
        </is>
      </c>
      <c r="C13" s="42" t="inlineStr">
        <is>
          <t>Nunca interpretar 2 ovos como 2 g. Medida caseira é estimativa.</t>
        </is>
      </c>
    </row>
    <row r="14" ht="48" customHeight="1">
      <c r="A14" s="18" t="inlineStr">
        <is>
          <t>Fotos</t>
        </is>
      </c>
      <c r="B14" s="42" t="inlineStr">
        <is>
          <t>Anexe links na aba Medidas e fotos conforme sua rotina.</t>
        </is>
      </c>
      <c r="C14" s="42" t="inlineStr">
        <is>
          <t>Não é uma pendência diária obrigatória.</t>
        </is>
      </c>
    </row>
    <row r="15" ht="48" customHeight="1">
      <c r="A15" s="18" t="inlineStr">
        <is>
          <t>Fora da rotina</t>
        </is>
      </c>
      <c r="B15" s="42" t="inlineStr">
        <is>
          <t>Descreva em Hoje!B20 e use Sem cálculo na Ação rápida, ou Registrar refeição sem cálculo no menu.</t>
        </is>
      </c>
      <c r="C15" s="42" t="inlineStr">
        <is>
          <t>Sem quantidade conhecida: macros vazios. Não estimar precisão inexistente.</t>
        </is>
      </c>
    </row>
    <row r="16" ht="48" customHeight="1">
      <c r="A16" s="18" t="inlineStr">
        <is>
          <t>Aderência</t>
        </is>
      </c>
      <c r="B16" s="42" t="inlineStr">
        <is>
          <t>Avaliação apenas de dias completos com cálculo; cobertura é mostrada junto das médias.</t>
        </is>
      </c>
      <c r="C16" s="42" t="inlineStr">
        <is>
          <t>Durante o dia o estado é Parcial — em andamento.</t>
        </is>
      </c>
    </row>
    <row r="17" ht="48" customHeight="1">
      <c r="A17" s="18" t="inlineStr">
        <is>
          <t>Retomar</t>
        </is>
      </c>
      <c r="B17" s="42" t="inlineStr">
        <is>
          <t>Carregar treino recupera a sessão salva na data. Dias sem uso não bloqueiam o dia atual.</t>
        </is>
      </c>
      <c r="C17" s="42" t="n"/>
    </row>
    <row r="18" ht="48" customHeight="1">
      <c r="A18" s="18" t="inlineStr">
        <is>
          <t>Fontes alimentares</t>
        </is>
      </c>
      <c r="B18" s="42" t="inlineStr">
        <is>
          <t>Referências existentes foram preservadas; esta revisão verificou estrutura e unidades.</t>
        </is>
      </c>
      <c r="C18" s="42" t="inlineStr">
        <is>
          <t>Cadastro válido não significa fonte nutricional auditada.</t>
        </is>
      </c>
    </row>
    <row r="19" ht="48" customHeight="1">
      <c r="A19" s="18" t="inlineStr">
        <is>
          <t>Séries de trabalho</t>
        </is>
      </c>
      <c r="B19" s="42" t="inlineStr">
        <is>
          <t>Volume e progressão usam apenas Work 1 e Work 2. Aquecimento e feeder ficam registrados à parte.</t>
        </is>
      </c>
      <c r="C19" s="42" t="inlineStr">
        <is>
          <t>RIR individual por work set; cargas anteriores são referência, não preenchimento automático.</t>
        </is>
      </c>
    </row>
    <row r="20" ht="48" customHeight="1">
      <c r="A20" s="18" t="inlineStr">
        <is>
          <t>Correções</t>
        </is>
      </c>
      <c r="B20" s="42" t="inlineStr">
        <is>
          <t>Selecione uma linha em Alimentação e use Corrigir quantidade da linha selecionada ou Excluir linha selecionada.</t>
        </is>
      </c>
      <c r="C20" s="42" t="inlineStr">
        <is>
          <t>Desfazer última alteração restaura registros pelo menu Projeto.</t>
        </is>
      </c>
    </row>
    <row r="21" ht="48" customHeight="1">
      <c r="A21" s="18" t="inlineStr">
        <is>
          <t>Rotação</t>
        </is>
      </c>
      <c r="B21" s="42" t="inlineStr">
        <is>
          <t>Breno: Upper → Lower → Full Body.</t>
        </is>
      </c>
      <c r="C21" s="42" t="n"/>
    </row>
    <row r="22" ht="48" customHeight="1">
      <c r="A22" s="18" t="inlineStr">
        <is>
          <t>Automação</t>
        </is>
      </c>
      <c r="B22" s="42" t="inlineStr">
        <is>
          <t>Menu Projeto funciona no Google Sheets pelo Apps Script vinculado.</t>
        </is>
      </c>
      <c r="C22" s="42" t="inlineStr">
        <is>
          <t>No celular, use a caixa Ação rápida em Hoje; as células são salvas pelo Sheets.</t>
        </is>
      </c>
    </row>
    <row r="23" ht="43.5" customHeight="1">
      <c r="A23" s="18" t="inlineStr">
        <is>
          <t>Créditos</t>
        </is>
      </c>
      <c r="B23" s="42" t="inlineStr">
        <is>
          <t>O preenchimento, os cálculos e os comandos desta planilha usam Apps Script, sem chamadas a modelos de IA.</t>
        </is>
      </c>
      <c r="C23" s="42" t="inlineStr">
        <is>
          <t>O futuro app/bot pode reutilizar as mesmas regras.</t>
        </is>
      </c>
    </row>
    <row r="24" ht="43.5" customHeight="1">
      <c r="A24" s="18" t="n"/>
      <c r="B24" s="42" t="n"/>
      <c r="C24" s="42" t="n"/>
    </row>
    <row r="25" ht="43.5" customHeight="1">
      <c r="A25" s="18" t="n"/>
      <c r="B25" s="42" t="n"/>
      <c r="C25" s="42" t="n"/>
    </row>
    <row r="26" ht="21.75" customHeight="1">
      <c r="A26" s="18" t="n"/>
      <c r="B26" s="18" t="n"/>
      <c r="C26" s="18" t="n"/>
    </row>
    <row r="27" ht="21.75" customHeight="1">
      <c r="A27" s="18" t="n"/>
      <c r="B27" s="18" t="n"/>
      <c r="C27" s="18" t="n"/>
    </row>
    <row r="28" ht="21.75" customHeight="1">
      <c r="A28" s="18" t="n"/>
      <c r="B28" s="18" t="n"/>
      <c r="C28" s="18" t="n"/>
    </row>
    <row r="29" ht="21.75" customHeight="1">
      <c r="A29" s="18" t="n"/>
      <c r="B29" s="18" t="n"/>
      <c r="C29" s="18" t="n"/>
    </row>
    <row r="30" ht="21.75" customHeight="1">
      <c r="A30" s="18" t="n"/>
      <c r="B30" s="18" t="n"/>
      <c r="C30" s="18" t="n"/>
    </row>
    <row r="31" ht="21.75" customHeight="1">
      <c r="A31" s="18" t="n"/>
      <c r="B31" s="18" t="n"/>
      <c r="C31" s="18" t="n"/>
    </row>
    <row r="32" ht="21.75" customHeight="1">
      <c r="A32" s="18" t="n"/>
      <c r="B32" s="18" t="n"/>
      <c r="C32" s="18" t="n"/>
    </row>
    <row r="33" ht="21.75" customHeight="1">
      <c r="A33" s="18" t="n"/>
      <c r="B33" s="18" t="n"/>
      <c r="C33" s="18" t="n"/>
    </row>
    <row r="34" ht="21.75" customHeight="1">
      <c r="A34" s="18" t="n"/>
      <c r="B34" s="18" t="n"/>
      <c r="C34" s="18" t="n"/>
    </row>
    <row r="35" ht="21.75" customHeight="1">
      <c r="A35" s="18" t="n"/>
      <c r="B35" s="18" t="n"/>
      <c r="C35" s="18" t="n"/>
    </row>
    <row r="36" ht="21.75" customHeight="1">
      <c r="A36" s="18" t="n"/>
      <c r="B36" s="18" t="n"/>
      <c r="C36" s="18" t="n"/>
    </row>
    <row r="37" ht="21.75" customHeight="1">
      <c r="A37" s="18" t="n"/>
      <c r="B37" s="18" t="n"/>
      <c r="C37" s="18" t="n"/>
    </row>
    <row r="38" ht="21.75" customHeight="1">
      <c r="A38" s="18" t="n"/>
      <c r="B38" s="18" t="n"/>
      <c r="C38" s="18" t="n"/>
    </row>
    <row r="39" ht="21.75" customHeight="1">
      <c r="A39" s="18" t="n"/>
      <c r="B39" s="18" t="n"/>
      <c r="C39" s="18" t="n"/>
    </row>
    <row r="40" ht="21.75" customHeight="1">
      <c r="A40" s="18" t="n"/>
      <c r="B40" s="18" t="n"/>
      <c r="C40" s="18" t="n"/>
    </row>
    <row r="41" ht="21.75" customHeight="1">
      <c r="A41" s="18" t="n"/>
      <c r="B41" s="18" t="n"/>
      <c r="C41" s="18" t="n"/>
    </row>
    <row r="42" ht="21.75" customHeight="1">
      <c r="A42" s="18" t="n"/>
      <c r="B42" s="18" t="n"/>
      <c r="C42" s="18" t="n"/>
    </row>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F65"/>
  <sheetViews>
    <sheetView showGridLines="0" workbookViewId="0">
      <pane ySplit="5" topLeftCell="A6" activePane="bottomLeft" state="frozen"/>
      <selection pane="bottomLeft" activeCell="A1" sqref="A1"/>
    </sheetView>
  </sheetViews>
  <sheetFormatPr baseColWidth="8" defaultRowHeight="15"/>
  <cols>
    <col width="15.03" customWidth="1" min="1" max="1"/>
    <col width="15.03" customWidth="1" min="2" max="2"/>
    <col width="13.01" customWidth="1" min="3" max="3"/>
    <col width="15.03" customWidth="1" min="4" max="4"/>
    <col width="15.03" customWidth="1" min="5" max="5"/>
    <col width="18.06" customWidth="1" min="6" max="6"/>
    <col width="18.06" customWidth="1" min="7" max="7"/>
    <col width="16.04" customWidth="1" min="8" max="8"/>
    <col width="16.04" customWidth="1" min="9" max="9"/>
    <col width="18.06" customWidth="1" min="10" max="10"/>
    <col width="19.96" customWidth="1" min="11" max="11"/>
    <col width="69.97" customWidth="1" min="12" max="12"/>
    <col width="8.59" customWidth="1" min="13" max="13"/>
    <col width="8.59" customWidth="1" min="14" max="14"/>
    <col width="8.59"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 width="8.59" customWidth="1" min="27" max="27"/>
    <col width="8.59" customWidth="1" min="28" max="28"/>
    <col width="8.59" customWidth="1" min="29" max="29"/>
    <col width="8.59" customWidth="1" min="30" max="30"/>
    <col width="8.59" customWidth="1" min="31" max="31"/>
    <col width="8.59" customWidth="1" min="32" max="32"/>
  </cols>
  <sheetData>
    <row r="1" ht="22.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row>
    <row r="2" ht="22.5" customHeight="1">
      <c r="A2" s="2" t="inlineStr">
        <is>
          <t>Metas por vigência</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row>
    <row r="3" ht="22.5" customHeight="1">
      <c r="A3" s="1" t="inlineStr">
        <is>
          <t>Uma linha por versão da meta. Carboidrato, TMB e gasto estimado ficam gravados com a meta.</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row>
    <row r="4" ht="22.5" customHeight="1">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row>
    <row r="5" ht="39.75" customHeight="1">
      <c r="A5" s="43" t="inlineStr">
        <is>
          <t>Início</t>
        </is>
      </c>
      <c r="B5" s="43" t="inlineStr">
        <is>
          <t>ID</t>
        </is>
      </c>
      <c r="C5" s="43" t="inlineStr">
        <is>
          <t>kcal</t>
        </is>
      </c>
      <c r="D5" s="43" t="inlineStr">
        <is>
          <t>Proteína g</t>
        </is>
      </c>
      <c r="E5" s="43" t="inlineStr">
        <is>
          <t>Gordura g</t>
        </is>
      </c>
      <c r="F5" s="43" t="inlineStr">
        <is>
          <t>Carboidrato g</t>
        </is>
      </c>
      <c r="G5" s="43" t="inlineStr">
        <is>
          <t>Treinos/sem</t>
        </is>
      </c>
      <c r="H5" s="43" t="inlineStr">
        <is>
          <t>Proteína mín</t>
        </is>
      </c>
      <c r="I5" s="43" t="inlineStr">
        <is>
          <t>Proteína máx</t>
        </is>
      </c>
      <c r="J5" s="43" t="inlineStr">
        <is>
          <t>Tolerância kcal</t>
        </is>
      </c>
      <c r="K5" s="43" t="inlineStr">
        <is>
          <t>Tolerância gordura</t>
        </is>
      </c>
      <c r="L5" s="43" t="inlineStr">
        <is>
          <t>Motivo</t>
        </is>
      </c>
      <c r="M5" s="1" t="inlineStr">
        <is>
          <t>Objetivo</t>
        </is>
      </c>
      <c r="N5" s="1" t="inlineStr">
        <is>
          <t>Fim</t>
        </is>
      </c>
      <c r="O5" s="1" t="inlineStr">
        <is>
          <t>Status</t>
        </is>
      </c>
      <c r="P5" s="1" t="inlineStr">
        <is>
          <t>Fibra g</t>
        </is>
      </c>
      <c r="Q5" s="1" t="inlineStr">
        <is>
          <t>Cardio/sem</t>
        </is>
      </c>
      <c r="R5" s="1" t="inlineStr">
        <is>
          <t>Atividades/sem</t>
        </is>
      </c>
      <c r="S5" s="1" t="inlineStr">
        <is>
          <t>Passos/dia</t>
        </is>
      </c>
      <c r="T5" s="1" t="inlineStr">
        <is>
          <t>TMB kcal</t>
        </is>
      </c>
      <c r="U5" s="1" t="inlineStr">
        <is>
          <t>Método TMB</t>
        </is>
      </c>
      <c r="V5" s="1" t="inlineStr">
        <is>
          <t>Fator de atividade</t>
        </is>
      </c>
      <c r="W5" s="1" t="inlineStr">
        <is>
          <t>Gasto estimado kcal</t>
        </is>
      </c>
      <c r="X5" s="1" t="inlineStr">
        <is>
          <t>Revisor</t>
        </is>
      </c>
      <c r="Y5" s="1" t="n"/>
      <c r="Z5" s="1" t="n"/>
      <c r="AA5" s="1" t="n"/>
      <c r="AB5" s="1" t="n"/>
      <c r="AC5" s="1" t="n"/>
      <c r="AD5" s="1" t="n"/>
      <c r="AE5" s="1" t="n"/>
      <c r="AF5" s="1" t="n"/>
    </row>
    <row r="6" ht="22.5" customHeight="1">
      <c r="A6" s="39" t="n">
        <v>46293</v>
      </c>
      <c r="B6" s="18" t="inlineStr">
        <is>
          <t>M001</t>
        </is>
      </c>
      <c r="C6" s="30" t="n">
        <v>2400</v>
      </c>
      <c r="D6" s="30" t="n">
        <v>140</v>
      </c>
      <c r="E6" s="30" t="n">
        <v>65</v>
      </c>
      <c r="F6" s="30" t="n">
        <v>313.75</v>
      </c>
      <c r="G6" s="30" t="n">
        <v>3</v>
      </c>
      <c r="H6" s="30" t="n">
        <v>135</v>
      </c>
      <c r="I6" s="30" t="n">
        <v>145</v>
      </c>
      <c r="J6" s="44" t="n">
        <v>0.05</v>
      </c>
      <c r="K6" s="44" t="n">
        <v>0.15</v>
      </c>
      <c r="L6" s="18" t="inlineStr">
        <is>
          <t>Referência inicial dos chats; início real 28/09/2026 (a 3.0 usava 01/01/1900 como vigência técnica).</t>
        </is>
      </c>
      <c r="M6" s="1" t="inlineStr">
        <is>
          <t>O001</t>
        </is>
      </c>
      <c r="N6" s="1" t="n"/>
      <c r="O6" s="1" t="inlineStr">
        <is>
          <t>Vigente</t>
        </is>
      </c>
      <c r="P6" s="1" t="n"/>
      <c r="Q6" s="1" t="n">
        <v>0</v>
      </c>
      <c r="R6" s="1" t="n">
        <v>2</v>
      </c>
      <c r="S6" s="1" t="n"/>
      <c r="T6" s="1" t="n">
        <v>1673.75</v>
      </c>
      <c r="U6" s="1" t="inlineStr">
        <is>
          <t>Mifflin-St Jeor</t>
        </is>
      </c>
      <c r="V6" s="1" t="n">
        <v>1.55</v>
      </c>
      <c r="W6" s="1" t="n">
        <v>2594.31</v>
      </c>
      <c r="X6" s="1" t="inlineStr">
        <is>
          <t>Luan</t>
        </is>
      </c>
      <c r="Y6" s="1" t="n"/>
      <c r="Z6" s="1" t="n"/>
      <c r="AA6" s="1" t="n"/>
      <c r="AB6" s="1" t="n"/>
      <c r="AC6" s="1" t="n"/>
      <c r="AD6" s="1" t="n"/>
      <c r="AE6" s="1" t="n"/>
      <c r="AF6" s="1" t="n"/>
    </row>
    <row r="7" ht="22.5" customHeight="1">
      <c r="A7" s="1" t="n"/>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c r="AD7" s="1" t="n"/>
      <c r="AE7" s="1" t="n"/>
      <c r="AF7" s="1" t="n"/>
    </row>
    <row r="8" ht="22.5" customHeight="1">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c r="AD8" s="1" t="n"/>
      <c r="AE8" s="1" t="n"/>
      <c r="AF8" s="1" t="n"/>
    </row>
    <row r="9" ht="22.5" customHeight="1">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row>
    <row r="10" ht="22.5" customHeight="1">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c r="AD10" s="1" t="n"/>
      <c r="AE10" s="1" t="n"/>
      <c r="AF10" s="1" t="n"/>
    </row>
    <row r="11" ht="22.5" customHeight="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row>
    <row r="12" ht="22.5" customHeight="1">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c r="AF12" s="1" t="n"/>
    </row>
    <row r="13" ht="22.5" customHeight="1">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c r="AE13" s="1" t="n"/>
      <c r="AF13" s="1" t="n"/>
    </row>
    <row r="14" ht="22.5" customHeight="1">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c r="AE14" s="1" t="n"/>
      <c r="AF14" s="1" t="n"/>
    </row>
    <row r="15" ht="22.5" customHeight="1">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c r="AD15" s="1" t="n"/>
      <c r="AE15" s="1" t="n"/>
      <c r="AF15" s="1" t="n"/>
    </row>
    <row r="16" ht="22.5" customHeight="1">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c r="AD16" s="1" t="n"/>
      <c r="AE16" s="1" t="n"/>
      <c r="AF16" s="1" t="n"/>
    </row>
    <row r="17" ht="22.5" customHeight="1">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c r="AD17" s="1" t="n"/>
      <c r="AE17" s="1" t="n"/>
      <c r="AF17" s="1" t="n"/>
    </row>
    <row r="18" ht="22.5" customHeight="1">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c r="AE18" s="1" t="n"/>
      <c r="AF18" s="1" t="n"/>
    </row>
    <row r="19" ht="22.5" customHeight="1">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c r="AE19" s="1" t="n"/>
      <c r="AF19" s="1" t="n"/>
    </row>
    <row r="20" ht="22.5" customHeight="1">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c r="AD20" s="1" t="n"/>
      <c r="AE20" s="1" t="n"/>
      <c r="AF20" s="1" t="n"/>
    </row>
    <row r="21" ht="22.5" customHeight="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c r="AF21" s="1" t="n"/>
    </row>
    <row r="22" ht="22.5" customHeight="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c r="AD22" s="1" t="n"/>
      <c r="AE22" s="1" t="n"/>
      <c r="AF22" s="1" t="n"/>
    </row>
    <row r="23" ht="22.5" customHeight="1">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c r="AF23" s="1" t="n"/>
    </row>
    <row r="24" ht="22.5" customHeight="1">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row>
    <row r="25" ht="22.5" customHeight="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row>
    <row r="26" ht="22.5" customHeight="1">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row>
    <row r="27" ht="22.5" customHeight="1">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row>
    <row r="28" ht="22.5" customHeight="1">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row>
    <row r="29" ht="22.5" customHeight="1">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row>
    <row r="30" ht="22.5" customHeight="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row>
    <row r="31" ht="22.5" customHeight="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row>
    <row r="32" ht="22.5" customHeight="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row>
    <row r="33" ht="22.5" customHeight="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row>
    <row r="34" ht="22.5" customHeight="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row>
    <row r="35" ht="22.5" customHeight="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row>
    <row r="36" ht="22.5" customHeight="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row>
    <row r="37" ht="22.5"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row>
    <row r="38" ht="22.5" customHeight="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row>
    <row r="39" ht="22.5" customHeight="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row>
    <row r="40" ht="22.5" customHeight="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row>
    <row r="41" ht="22.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row>
    <row r="42" ht="22.5" customHeight="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row>
    <row r="43" ht="22.5" customHeight="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row>
    <row r="44" ht="22.5" customHeight="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row>
    <row r="45" ht="22.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row>
    <row r="46" ht="22.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row>
    <row r="47" ht="22.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row>
    <row r="48" ht="22.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row>
    <row r="49" ht="22.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row>
    <row r="50" ht="22.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row>
    <row r="51" ht="22.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row>
    <row r="52" ht="22.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row>
    <row r="53" ht="22.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row>
    <row r="54" ht="22.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row>
    <row r="55" ht="22.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row>
    <row r="56" ht="22.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row>
    <row r="57" ht="22.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row>
    <row r="58" ht="22.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row>
    <row r="59" ht="22.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row>
    <row r="60" ht="22.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row>
    <row r="61" ht="22.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row>
    <row r="62" ht="22.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row>
    <row r="63" ht="22.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row>
    <row r="64" ht="22.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row>
    <row r="65" ht="22.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row>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autoFilter ref="A5:L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Z65"/>
  <sheetViews>
    <sheetView showGridLines="0" workbookViewId="0">
      <pane ySplit="5" topLeftCell="A6" activePane="bottomLeft" state="frozen"/>
      <selection pane="bottomLeft" activeCell="A1" sqref="A1"/>
    </sheetView>
  </sheetViews>
  <sheetFormatPr baseColWidth="8" defaultRowHeight="15"/>
  <cols>
    <col width="40.04" customWidth="1" min="1" max="1"/>
    <col width="24" customWidth="1" min="2" max="2"/>
    <col width="69.97" customWidth="1" min="3" max="3"/>
    <col width="8.59" customWidth="1" min="4" max="4"/>
    <col width="8.59" customWidth="1" min="5" max="5"/>
    <col width="8.59" customWidth="1" min="6" max="6"/>
    <col width="8.59" customWidth="1" min="7" max="7"/>
    <col width="8.59" customWidth="1" min="8" max="8"/>
    <col width="8.59" customWidth="1" min="9" max="9"/>
    <col width="8.59" customWidth="1" min="10" max="10"/>
    <col width="8.59" customWidth="1" min="11" max="11"/>
    <col width="8.59" customWidth="1" min="12" max="12"/>
    <col width="8.59" customWidth="1" min="13" max="13"/>
    <col width="8.59" customWidth="1" min="14" max="14"/>
    <col width="8.59"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s>
  <sheetData>
    <row r="1" ht="22.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2.5" customHeight="1">
      <c r="A2" s="2" t="inlineStr">
        <is>
          <t>Cadastro de exercícios</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22.5" customHeight="1">
      <c r="A3" s="1" t="inlineStr">
        <is>
          <t>Um exercício por linha. Mantenha sempre o mesmo critério de carga.</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22.5" customHeight="1">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39.75" customHeight="1">
      <c r="A5" s="37" t="inlineStr">
        <is>
          <t>Exercício</t>
        </is>
      </c>
      <c r="B5" s="37" t="inlineStr">
        <is>
          <t>Grupo</t>
        </is>
      </c>
      <c r="C5" s="37" t="inlineStr">
        <is>
          <t>Convenção de carga</t>
        </is>
      </c>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22.5" customHeight="1">
      <c r="A6" s="18" t="inlineStr">
        <is>
          <t>Supino inclinado</t>
        </is>
      </c>
      <c r="B6" s="18" t="inlineStr">
        <is>
          <t>Peito</t>
        </is>
      </c>
      <c r="C6" s="18" t="inlineStr">
        <is>
          <t>Carga total ou por halter: escolher e manter sempre o mesmo critério</t>
        </is>
      </c>
      <c r="D6" s="1" t="n"/>
      <c r="E6" s="1" t="n"/>
      <c r="F6" s="1" t="inlineStr">
        <is>
          <t>Upper</t>
        </is>
      </c>
      <c r="G6" s="1" t="n"/>
      <c r="H6" s="1" t="n"/>
      <c r="I6" s="1" t="n"/>
      <c r="J6" s="1" t="n"/>
      <c r="K6" s="1" t="n"/>
      <c r="L6" s="1" t="n"/>
      <c r="M6" s="1" t="n"/>
      <c r="N6" s="1" t="n"/>
      <c r="O6" s="1" t="n"/>
      <c r="P6" s="1" t="n"/>
      <c r="Q6" s="1" t="n"/>
      <c r="R6" s="1" t="n"/>
      <c r="S6" s="1" t="n"/>
      <c r="T6" s="1" t="n"/>
      <c r="U6" s="1" t="n"/>
      <c r="V6" s="1" t="n"/>
      <c r="W6" s="1" t="n"/>
      <c r="X6" s="1" t="n"/>
      <c r="Y6" s="1" t="n"/>
      <c r="Z6" s="1" t="n"/>
    </row>
    <row r="7" ht="22.5" customHeight="1">
      <c r="A7" s="18" t="inlineStr">
        <is>
          <t>Puxada aberta</t>
        </is>
      </c>
      <c r="B7" s="18" t="inlineStr">
        <is>
          <t>Costas</t>
        </is>
      </c>
      <c r="C7" s="18" t="inlineStr">
        <is>
          <t>Carga total ou por halter: escolher e manter sempre o mesmo critério</t>
        </is>
      </c>
      <c r="D7" s="1" t="n"/>
      <c r="E7" s="1" t="n"/>
      <c r="F7" s="1" t="inlineStr">
        <is>
          <t>Lower</t>
        </is>
      </c>
      <c r="G7" s="1" t="n"/>
      <c r="H7" s="1" t="n"/>
      <c r="I7" s="1" t="n"/>
      <c r="J7" s="1" t="n"/>
      <c r="K7" s="1" t="n"/>
      <c r="L7" s="1" t="n"/>
      <c r="M7" s="1" t="n"/>
      <c r="N7" s="1" t="n"/>
      <c r="O7" s="1" t="n"/>
      <c r="P7" s="1" t="n"/>
      <c r="Q7" s="1" t="n"/>
      <c r="R7" s="1" t="n"/>
      <c r="S7" s="1" t="n"/>
      <c r="T7" s="1" t="n"/>
      <c r="U7" s="1" t="n"/>
      <c r="V7" s="1" t="n"/>
      <c r="W7" s="1" t="n"/>
      <c r="X7" s="1" t="n"/>
      <c r="Y7" s="1" t="n"/>
      <c r="Z7" s="1" t="n"/>
    </row>
    <row r="8" ht="22.5" customHeight="1">
      <c r="A8" s="18" t="inlineStr">
        <is>
          <t>Remada articulada</t>
        </is>
      </c>
      <c r="B8" s="18" t="inlineStr">
        <is>
          <t>Costas</t>
        </is>
      </c>
      <c r="C8" s="18" t="inlineStr">
        <is>
          <t>Carga total ou por halter: escolher e manter sempre o mesmo critério</t>
        </is>
      </c>
      <c r="D8" s="1" t="n"/>
      <c r="E8" s="1" t="n"/>
      <c r="F8" s="1" t="inlineStr">
        <is>
          <t>Full Body</t>
        </is>
      </c>
      <c r="G8" s="1" t="n"/>
      <c r="H8" s="1" t="n"/>
      <c r="I8" s="1" t="n"/>
      <c r="J8" s="1" t="n"/>
      <c r="K8" s="1" t="n"/>
      <c r="L8" s="1" t="n"/>
      <c r="M8" s="1" t="n"/>
      <c r="N8" s="1" t="n"/>
      <c r="O8" s="1" t="n"/>
      <c r="P8" s="1" t="n"/>
      <c r="Q8" s="1" t="n"/>
      <c r="R8" s="1" t="n"/>
      <c r="S8" s="1" t="n"/>
      <c r="T8" s="1" t="n"/>
      <c r="U8" s="1" t="n"/>
      <c r="V8" s="1" t="n"/>
      <c r="W8" s="1" t="n"/>
      <c r="X8" s="1" t="n"/>
      <c r="Y8" s="1" t="n"/>
      <c r="Z8" s="1" t="n"/>
    </row>
    <row r="9" ht="22.5" customHeight="1">
      <c r="A9" s="18" t="inlineStr">
        <is>
          <t>Supino reto máquina</t>
        </is>
      </c>
      <c r="B9" s="18" t="inlineStr">
        <is>
          <t>Peito</t>
        </is>
      </c>
      <c r="C9" s="18" t="inlineStr">
        <is>
          <t>Carga total ou por halter: escolher e manter sempre o mesmo critério</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22.5" customHeight="1">
      <c r="A10" s="18" t="inlineStr">
        <is>
          <t>Elevação lateral</t>
        </is>
      </c>
      <c r="B10" s="18" t="inlineStr">
        <is>
          <t>Ombros</t>
        </is>
      </c>
      <c r="C10" s="18" t="inlineStr">
        <is>
          <t>Carga total ou por halter: escolher e manter sempre o mesmo critério</t>
        </is>
      </c>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22.5" customHeight="1">
      <c r="A11" s="18" t="inlineStr">
        <is>
          <t>Crucifixo inverso</t>
        </is>
      </c>
      <c r="B11" s="18" t="inlineStr">
        <is>
          <t>Ombros</t>
        </is>
      </c>
      <c r="C11" s="18" t="inlineStr">
        <is>
          <t>Carga total ou por halter: escolher e manter sempre o mesmo critério</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22.5" customHeight="1">
      <c r="A12" s="18" t="inlineStr">
        <is>
          <t>Rosca Scott</t>
        </is>
      </c>
      <c r="B12" s="18" t="inlineStr">
        <is>
          <t>Bíceps</t>
        </is>
      </c>
      <c r="C12" s="18" t="inlineStr">
        <is>
          <t>Carga total ou por halter: escolher e manter sempre o mesmo critério</t>
        </is>
      </c>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22.5" customHeight="1">
      <c r="A13" s="18" t="inlineStr">
        <is>
          <t>Tríceps corda</t>
        </is>
      </c>
      <c r="B13" s="18" t="inlineStr">
        <is>
          <t>Tríceps</t>
        </is>
      </c>
      <c r="C13" s="18" t="inlineStr">
        <is>
          <t>Carga total ou por halter: escolher e manter sempre o mesmo critério</t>
        </is>
      </c>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22.5" customHeight="1">
      <c r="A14" s="18" t="inlineStr">
        <is>
          <t>Hack / agachamento orientado</t>
        </is>
      </c>
      <c r="B14" s="18" t="inlineStr">
        <is>
          <t>Quadríceps</t>
        </is>
      </c>
      <c r="C14" s="18" t="inlineStr">
        <is>
          <t>Carga total ou por halter: escolher e manter sempre o mesmo critério</t>
        </is>
      </c>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22.5" customHeight="1">
      <c r="A15" s="18" t="inlineStr">
        <is>
          <t>Leg press</t>
        </is>
      </c>
      <c r="B15" s="18" t="inlineStr">
        <is>
          <t>Quadríceps</t>
        </is>
      </c>
      <c r="C15" s="18" t="inlineStr">
        <is>
          <t>Carga total ou por halter: escolher e manter sempre o mesmo critério</t>
        </is>
      </c>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22.5" customHeight="1">
      <c r="A16" s="18" t="inlineStr">
        <is>
          <t>Stiff orientado</t>
        </is>
      </c>
      <c r="B16" s="18" t="inlineStr">
        <is>
          <t>Posteriores</t>
        </is>
      </c>
      <c r="C16" s="18" t="inlineStr">
        <is>
          <t>Carga total ou por halter: escolher e manter sempre o mesmo critério</t>
        </is>
      </c>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22.5" customHeight="1">
      <c r="A17" s="18" t="inlineStr">
        <is>
          <t>Mesa flexora</t>
        </is>
      </c>
      <c r="B17" s="18" t="inlineStr">
        <is>
          <t>Posteriores</t>
        </is>
      </c>
      <c r="C17" s="18" t="inlineStr">
        <is>
          <t>Carga total ou por halter: escolher e manter sempre o mesmo critério</t>
        </is>
      </c>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22.5" customHeight="1">
      <c r="A18" s="18" t="inlineStr">
        <is>
          <t>Panturrilha</t>
        </is>
      </c>
      <c r="B18" s="18" t="inlineStr">
        <is>
          <t>Panturrilhas</t>
        </is>
      </c>
      <c r="C18" s="18" t="inlineStr">
        <is>
          <t>Carga total ou por halter: escolher e manter sempre o mesmo critério</t>
        </is>
      </c>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22.5" customHeight="1">
      <c r="A19" s="18" t="inlineStr">
        <is>
          <t>Abdominal na polia</t>
        </is>
      </c>
      <c r="B19" s="18" t="inlineStr">
        <is>
          <t>Abdômen</t>
        </is>
      </c>
      <c r="C19" s="18" t="inlineStr">
        <is>
          <t>Carga total ou por halter: escolher e manter sempre o mesmo critério</t>
        </is>
      </c>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22.5" customHeight="1">
      <c r="A20" s="18" t="inlineStr">
        <is>
          <t>Supino inclinado halteres</t>
        </is>
      </c>
      <c r="B20" s="18" t="inlineStr">
        <is>
          <t>Peito</t>
        </is>
      </c>
      <c r="C20" s="18" t="inlineStr">
        <is>
          <t>Carga total ou por halter: escolher e manter sempre o mesmo critério</t>
        </is>
      </c>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22.5" customHeight="1">
      <c r="A21" s="18" t="inlineStr">
        <is>
          <t>Puxada neutra</t>
        </is>
      </c>
      <c r="B21" s="18" t="inlineStr">
        <is>
          <t>Costas</t>
        </is>
      </c>
      <c r="C21" s="18" t="inlineStr">
        <is>
          <t>Carga total ou por halter: escolher e manter sempre o mesmo critério</t>
        </is>
      </c>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22.5" customHeight="1">
      <c r="A22" s="18" t="inlineStr">
        <is>
          <t>Remada com apoio</t>
        </is>
      </c>
      <c r="B22" s="18" t="inlineStr">
        <is>
          <t>Costas</t>
        </is>
      </c>
      <c r="C22" s="18" t="inlineStr">
        <is>
          <t>Carga total ou por halter: escolher e manter sempre o mesmo critério</t>
        </is>
      </c>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22.5" customHeight="1">
      <c r="A23" s="18" t="inlineStr">
        <is>
          <t>Rosca alternada</t>
        </is>
      </c>
      <c r="B23" s="18" t="inlineStr">
        <is>
          <t>Bíceps</t>
        </is>
      </c>
      <c r="C23" s="18" t="inlineStr">
        <is>
          <t>Carga total ou por halter: escolher e manter sempre o mesmo critério</t>
        </is>
      </c>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22.5" customHeight="1">
      <c r="A24" s="18" t="inlineStr">
        <is>
          <t>Flexora sentada</t>
        </is>
      </c>
      <c r="B24" s="18" t="inlineStr">
        <is>
          <t>Posteriores</t>
        </is>
      </c>
      <c r="C24" s="18" t="inlineStr">
        <is>
          <t>Carga total ou por halter: escolher e manter sempre o mesmo critério</t>
        </is>
      </c>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2.5" customHeight="1">
      <c r="A25" s="18" t="inlineStr">
        <is>
          <t>Cadeira extensora</t>
        </is>
      </c>
      <c r="B25" s="18" t="inlineStr">
        <is>
          <t>Quadríceps</t>
        </is>
      </c>
      <c r="C25" s="18" t="inlineStr">
        <is>
          <t>Carga total ou por halter: escolher e manter sempre o mesmo critério</t>
        </is>
      </c>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22.5" customHeight="1">
      <c r="A26" s="18" t="inlineStr">
        <is>
          <t>Agachamento búlgaro</t>
        </is>
      </c>
      <c r="B26" s="18" t="inlineStr">
        <is>
          <t>Quadríceps</t>
        </is>
      </c>
      <c r="C26" s="18" t="inlineStr">
        <is>
          <t>Carga total ou por halter: escolher e manter sempre o mesmo critério</t>
        </is>
      </c>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22.5" customHeight="1">
      <c r="A27" s="18" t="inlineStr">
        <is>
          <t>Supino reto com halteres</t>
        </is>
      </c>
      <c r="B27" s="18" t="inlineStr">
        <is>
          <t>Peito</t>
        </is>
      </c>
      <c r="C27" s="18" t="inlineStr">
        <is>
          <t>Carga total ou por halter: escolher e manter sempre o mesmo critério</t>
        </is>
      </c>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22.5" customHeight="1">
      <c r="A28" s="18" t="inlineStr">
        <is>
          <t>Supino inclinado máquina</t>
        </is>
      </c>
      <c r="B28" s="18" t="inlineStr">
        <is>
          <t>Peito</t>
        </is>
      </c>
      <c r="C28" s="18" t="inlineStr">
        <is>
          <t>Carga total ou por halter: escolher e manter sempre o mesmo critério</t>
        </is>
      </c>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22.5" customHeight="1">
      <c r="A29" s="18" t="inlineStr">
        <is>
          <t>Remada baixa na polia</t>
        </is>
      </c>
      <c r="B29" s="18" t="inlineStr">
        <is>
          <t>Costas</t>
        </is>
      </c>
      <c r="C29" s="18" t="inlineStr">
        <is>
          <t>Carga total ou por halter: escolher e manter sempre o mesmo critério</t>
        </is>
      </c>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22.5" customHeight="1">
      <c r="A30" s="18" t="inlineStr">
        <is>
          <t>Face pull</t>
        </is>
      </c>
      <c r="B30" s="18" t="inlineStr">
        <is>
          <t>Ombros</t>
        </is>
      </c>
      <c r="C30" s="18" t="inlineStr">
        <is>
          <t>Carga total ou por halter: escolher e manter sempre o mesmo critério</t>
        </is>
      </c>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22.5" customHeight="1">
      <c r="A31" s="18" t="inlineStr">
        <is>
          <t>Tríceps francês</t>
        </is>
      </c>
      <c r="B31" s="18" t="inlineStr">
        <is>
          <t>Tríceps</t>
        </is>
      </c>
      <c r="C31" s="18" t="inlineStr">
        <is>
          <t>Carga total ou por halter: escolher e manter sempre o mesmo critério</t>
        </is>
      </c>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22.5" customHeight="1">
      <c r="A32" s="18" t="inlineStr">
        <is>
          <t>Tríceps barra na polia</t>
        </is>
      </c>
      <c r="B32" s="18" t="inlineStr">
        <is>
          <t>Tríceps</t>
        </is>
      </c>
      <c r="C32" s="18" t="inlineStr">
        <is>
          <t>Carga total ou por halter: escolher e manter sempre o mesmo critério</t>
        </is>
      </c>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22.5" customHeight="1">
      <c r="A33" s="18" t="inlineStr">
        <is>
          <t>Rosca direta na polia</t>
        </is>
      </c>
      <c r="B33" s="18" t="inlineStr">
        <is>
          <t>Bíceps</t>
        </is>
      </c>
      <c r="C33" s="18" t="inlineStr">
        <is>
          <t>Carga total ou por halter: escolher e manter sempre o mesmo critério</t>
        </is>
      </c>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22.5" customHeight="1">
      <c r="A34" s="18" t="inlineStr">
        <is>
          <t>Panturrilha sentada</t>
        </is>
      </c>
      <c r="B34" s="18" t="inlineStr">
        <is>
          <t>Panturrilhas</t>
        </is>
      </c>
      <c r="C34" s="18" t="inlineStr">
        <is>
          <t>Carga total ou por halter: escolher e manter sempre o mesmo critério</t>
        </is>
      </c>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22.5" customHeight="1">
      <c r="A35" s="18" t="inlineStr">
        <is>
          <t>Abdominal máquina</t>
        </is>
      </c>
      <c r="B35" s="18" t="inlineStr">
        <is>
          <t>Abdômen</t>
        </is>
      </c>
      <c r="C35" s="18" t="inlineStr">
        <is>
          <t>Carga total ou por halter: escolher e manter sempre o mesmo critério</t>
        </is>
      </c>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22.5" customHeight="1">
      <c r="A36" s="18" t="inlineStr">
        <is>
          <t>Levantamento romeno halteres</t>
        </is>
      </c>
      <c r="B36" s="18" t="inlineStr">
        <is>
          <t>Posteriores</t>
        </is>
      </c>
      <c r="C36" s="18" t="inlineStr">
        <is>
          <t>Carga total ou por halter: escolher e manter sempre o mesmo critério</t>
        </is>
      </c>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22.5" customHeight="1">
      <c r="A37" s="18" t="inlineStr">
        <is>
          <t>Remada baixa com triângulo</t>
        </is>
      </c>
      <c r="B37" s="18" t="inlineStr">
        <is>
          <t>Costas</t>
        </is>
      </c>
      <c r="C37" s="18" t="inlineStr">
        <is>
          <t>kg indicados na máquina ou carga total da barra; manter equipamento e critério</t>
        </is>
      </c>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22.5" customHeight="1">
      <c r="A38" s="18" t="inlineStr">
        <is>
          <t>Supino reto na máquina</t>
        </is>
      </c>
      <c r="B38" s="18" t="inlineStr">
        <is>
          <t>Peito</t>
        </is>
      </c>
      <c r="C38" s="18" t="inlineStr">
        <is>
          <t>kg indicados na máquina ou carga total da barra; manter equipamento e critério</t>
        </is>
      </c>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22.5" customHeight="1">
      <c r="A39" s="18" t="inlineStr">
        <is>
          <t>Peck deck reverso</t>
        </is>
      </c>
      <c r="B39" s="18" t="inlineStr">
        <is>
          <t>Ombros</t>
        </is>
      </c>
      <c r="C39" s="18" t="inlineStr">
        <is>
          <t>kg indicados na máquina ou carga total da barra; manter equipamento e critério</t>
        </is>
      </c>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22.5" customHeight="1">
      <c r="A40" s="18" t="inlineStr">
        <is>
          <t>Tríceps na corda</t>
        </is>
      </c>
      <c r="B40" s="18" t="inlineStr">
        <is>
          <t>Tríceps</t>
        </is>
      </c>
      <c r="C40" s="18" t="inlineStr">
        <is>
          <t>kg indicados na máquina ou carga total da barra; manter equipamento e critério</t>
        </is>
      </c>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22.5" customHeight="1">
      <c r="A41" s="18" t="inlineStr">
        <is>
          <t>Agachamento orientado</t>
        </is>
      </c>
      <c r="B41" s="18" t="inlineStr">
        <is>
          <t>Quadríceps</t>
        </is>
      </c>
      <c r="C41" s="18" t="inlineStr">
        <is>
          <t>kg indicados na máquina ou carga total da barra; manter equipamento e critério</t>
        </is>
      </c>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22.5" customHeight="1">
      <c r="A42" s="18" t="inlineStr">
        <is>
          <t>Panturrilha em pé</t>
        </is>
      </c>
      <c r="B42" s="18" t="inlineStr">
        <is>
          <t>Panturrilhas</t>
        </is>
      </c>
      <c r="C42" s="18" t="inlineStr">
        <is>
          <t>kg indicados na máquina ou carga total da barra; manter equipamento e critério</t>
        </is>
      </c>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22.5" customHeight="1">
      <c r="A43" s="18" t="inlineStr">
        <is>
          <t>Panturrilha sentado</t>
        </is>
      </c>
      <c r="B43" s="18" t="inlineStr">
        <is>
          <t>Panturrilhas</t>
        </is>
      </c>
      <c r="C43" s="18" t="inlineStr">
        <is>
          <t>kg indicados na máquina ou carga total da barra; manter equipamento e critério</t>
        </is>
      </c>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22.5" customHeight="1">
      <c r="A44" s="18" t="inlineStr">
        <is>
          <t>Supino inclinado com halteres</t>
        </is>
      </c>
      <c r="B44" s="18" t="inlineStr">
        <is>
          <t>Peito</t>
        </is>
      </c>
      <c r="C44" s="18" t="inlineStr">
        <is>
          <t>kg por halter; manter o mesmo critério</t>
        </is>
      </c>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22.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22.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22.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22.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22.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22.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22.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22.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22.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22.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22.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22.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22.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22.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22.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22.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22.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22.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22.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22.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22.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autoFilter ref="A5:C4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G65"/>
  <sheetViews>
    <sheetView showGridLines="0" workbookViewId="0">
      <pane ySplit="5" topLeftCell="A6" activePane="bottomLeft" state="frozen"/>
      <selection pane="bottomLeft" activeCell="A1" sqref="A1"/>
    </sheetView>
  </sheetViews>
  <sheetFormatPr baseColWidth="8" defaultRowHeight="15"/>
  <cols>
    <col width="14.02" customWidth="1" min="1" max="1"/>
    <col width="15.03" customWidth="1" min="2" max="2"/>
    <col width="17.05" customWidth="1" min="3" max="3"/>
    <col width="34.99" customWidth="1" min="4" max="4"/>
    <col width="21.98" customWidth="1" min="5" max="5"/>
    <col width="18.95" customWidth="1" min="6" max="6"/>
    <col width="18.95" customWidth="1" min="7" max="7"/>
    <col width="14.02" customWidth="1" min="8" max="8"/>
    <col width="14.02" customWidth="1" min="9" max="9"/>
    <col width="18.06" customWidth="1" min="10" max="10"/>
    <col width="18.06" customWidth="1" min="11" max="11"/>
    <col width="16.04" customWidth="1" min="12" max="12"/>
    <col width="34.99" customWidth="1" min="13" max="13"/>
    <col width="21.98" customWidth="1" min="14" max="14"/>
    <col width="69.97"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 width="8.59" customWidth="1" min="27" max="27"/>
    <col width="8.59" customWidth="1" min="28" max="28"/>
    <col width="8.59" customWidth="1" min="29" max="29"/>
    <col width="8.59" customWidth="1" min="30" max="30"/>
    <col width="8.59" customWidth="1" min="31" max="31"/>
    <col width="8.59" customWidth="1" min="32" max="32"/>
    <col width="8.59" customWidth="1" min="33" max="33"/>
  </cols>
  <sheetData>
    <row r="1" ht="22.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row>
    <row r="2" ht="22.5" customHeight="1">
      <c r="A2" s="2" t="inlineStr">
        <is>
          <t>Fichas preservadas por versão</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row>
    <row r="3" ht="22.5" customHeight="1">
      <c r="A3" s="1" t="inlineStr">
        <is>
          <t>Uma linha por exercício de cada versão. A versão vigente aparece em Ficha de treino.</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row>
    <row r="4" ht="22.5" customHeight="1">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row>
    <row r="5" ht="39.75" customHeight="1">
      <c r="A5" s="37" t="inlineStr">
        <is>
          <t>Versão</t>
        </is>
      </c>
      <c r="B5" s="37" t="inlineStr">
        <is>
          <t>Vigência</t>
        </is>
      </c>
      <c r="C5" s="37" t="inlineStr">
        <is>
          <t>Sessão</t>
        </is>
      </c>
      <c r="D5" s="37" t="inlineStr">
        <is>
          <t>Exercício</t>
        </is>
      </c>
      <c r="E5" s="37" t="inlineStr">
        <is>
          <t>Grupo</t>
        </is>
      </c>
      <c r="F5" s="37" t="inlineStr">
        <is>
          <t>Work sets adaptação</t>
        </is>
      </c>
      <c r="G5" s="37" t="inlineStr">
        <is>
          <t>Work sets regular</t>
        </is>
      </c>
      <c r="H5" s="37" t="inlineStr">
        <is>
          <t>Reps work mín</t>
        </is>
      </c>
      <c r="I5" s="37" t="inlineStr">
        <is>
          <t>Reps work máx</t>
        </is>
      </c>
      <c r="J5" s="37" t="inlineStr">
        <is>
          <t>RIR work adaptação</t>
        </is>
      </c>
      <c r="K5" s="37" t="inlineStr">
        <is>
          <t>RIR work regular</t>
        </is>
      </c>
      <c r="L5" s="37" t="inlineStr">
        <is>
          <t>Descanso s</t>
        </is>
      </c>
      <c r="M5" s="37" t="inlineStr">
        <is>
          <t>Alternativa</t>
        </is>
      </c>
      <c r="N5" s="37" t="inlineStr">
        <is>
          <t>Revisão</t>
        </is>
      </c>
      <c r="O5" s="37" t="inlineStr">
        <is>
          <t>Observações</t>
        </is>
      </c>
      <c r="P5" s="1" t="inlineStr">
        <is>
          <t>Início</t>
        </is>
      </c>
      <c r="Q5" s="1" t="inlineStr">
        <is>
          <t>Fim</t>
        </is>
      </c>
      <c r="R5" s="1" t="inlineStr">
        <is>
          <t>Status</t>
        </is>
      </c>
      <c r="S5" s="1" t="n"/>
      <c r="T5" s="1" t="n"/>
      <c r="U5" s="1" t="n"/>
      <c r="V5" s="1" t="n"/>
      <c r="W5" s="1" t="n"/>
      <c r="X5" s="1" t="n"/>
      <c r="Y5" s="1" t="n"/>
      <c r="Z5" s="1" t="n"/>
      <c r="AA5" s="1" t="n"/>
      <c r="AB5" s="1" t="n"/>
      <c r="AC5" s="1" t="n"/>
      <c r="AD5" s="1" t="n"/>
      <c r="AE5" s="1" t="n"/>
      <c r="AF5" s="1" t="n"/>
      <c r="AG5" s="1" t="n"/>
    </row>
    <row r="6" ht="22.5" customHeight="1">
      <c r="A6" s="18" t="inlineStr">
        <is>
          <t>F001</t>
        </is>
      </c>
      <c r="B6" s="39" t="n">
        <v>46280</v>
      </c>
      <c r="C6" s="18" t="inlineStr">
        <is>
          <t>Upper</t>
        </is>
      </c>
      <c r="D6" s="18" t="inlineStr">
        <is>
          <t>Supino inclinado</t>
        </is>
      </c>
      <c r="E6" s="18" t="inlineStr">
        <is>
          <t>Peito</t>
        </is>
      </c>
      <c r="F6" s="18" t="n">
        <v>2</v>
      </c>
      <c r="G6" s="18" t="n">
        <v>3</v>
      </c>
      <c r="H6" s="18" t="n">
        <v>6</v>
      </c>
      <c r="I6" s="18" t="n">
        <v>10</v>
      </c>
      <c r="J6" s="18" t="n">
        <v>3</v>
      </c>
      <c r="K6" s="18" t="n">
        <v>2</v>
      </c>
      <c r="L6" s="18" t="n">
        <v>150</v>
      </c>
      <c r="M6" s="18" t="inlineStr">
        <is>
          <t>Supino inclinado máquina</t>
        </is>
      </c>
      <c r="N6" s="18" t="inlineStr">
        <is>
          <t>A revisar</t>
        </is>
      </c>
      <c r="O6" s="18" t="inlineStr">
        <is>
          <t>Primeiras 2 semanas: 2 séries. Coluna de 3 séries depende da recuperação.</t>
        </is>
      </c>
      <c r="P6" s="45" t="n">
        <v>46280</v>
      </c>
      <c r="Q6" s="45" t="n">
        <v>46292</v>
      </c>
      <c r="R6" s="1" t="inlineStr">
        <is>
          <t>Encerrada</t>
        </is>
      </c>
      <c r="S6" s="1" t="n"/>
      <c r="T6" s="1" t="n"/>
      <c r="U6" s="1" t="n"/>
      <c r="V6" s="1" t="n"/>
      <c r="W6" s="1" t="n"/>
      <c r="X6" s="1" t="n"/>
      <c r="Y6" s="1" t="n"/>
      <c r="Z6" s="1" t="n"/>
      <c r="AA6" s="1" t="n"/>
      <c r="AB6" s="1" t="n"/>
      <c r="AC6" s="1" t="n"/>
      <c r="AD6" s="1" t="n"/>
      <c r="AE6" s="1" t="n"/>
      <c r="AF6" s="1" t="n"/>
      <c r="AG6" s="1" t="n"/>
    </row>
    <row r="7" ht="22.5" customHeight="1">
      <c r="A7" s="18" t="inlineStr">
        <is>
          <t>F001</t>
        </is>
      </c>
      <c r="B7" s="39" t="n">
        <v>46280</v>
      </c>
      <c r="C7" s="18" t="inlineStr">
        <is>
          <t>Upper</t>
        </is>
      </c>
      <c r="D7" s="18" t="inlineStr">
        <is>
          <t>Puxada aberta</t>
        </is>
      </c>
      <c r="E7" s="18" t="inlineStr">
        <is>
          <t>Costas</t>
        </is>
      </c>
      <c r="F7" s="18" t="n">
        <v>2</v>
      </c>
      <c r="G7" s="18" t="n">
        <v>3</v>
      </c>
      <c r="H7" s="18" t="n">
        <v>8</v>
      </c>
      <c r="I7" s="18" t="n">
        <v>12</v>
      </c>
      <c r="J7" s="18" t="n">
        <v>3</v>
      </c>
      <c r="K7" s="18" t="n">
        <v>2</v>
      </c>
      <c r="L7" s="18" t="n">
        <v>150</v>
      </c>
      <c r="M7" s="18" t="inlineStr">
        <is>
          <t>Puxada neutra</t>
        </is>
      </c>
      <c r="N7" s="18" t="inlineStr">
        <is>
          <t>A revisar</t>
        </is>
      </c>
      <c r="O7" s="18" t="inlineStr">
        <is>
          <t>Primeiras 2 semanas: 2 séries. Coluna de 3 séries depende da recuperação.</t>
        </is>
      </c>
      <c r="P7" s="45" t="n">
        <v>46280</v>
      </c>
      <c r="Q7" s="45" t="n">
        <v>46292</v>
      </c>
      <c r="R7" s="1" t="inlineStr">
        <is>
          <t>Encerrada</t>
        </is>
      </c>
      <c r="S7" s="1" t="n"/>
      <c r="T7" s="1" t="n"/>
      <c r="U7" s="1" t="n"/>
      <c r="V7" s="1" t="n"/>
      <c r="W7" s="1" t="n"/>
      <c r="X7" s="1" t="n"/>
      <c r="Y7" s="1" t="n"/>
      <c r="Z7" s="1" t="n"/>
      <c r="AA7" s="1" t="n"/>
      <c r="AB7" s="1" t="n"/>
      <c r="AC7" s="1" t="n"/>
      <c r="AD7" s="1" t="n"/>
      <c r="AE7" s="1" t="n"/>
      <c r="AF7" s="1" t="n"/>
      <c r="AG7" s="1" t="n"/>
    </row>
    <row r="8" ht="22.5" customHeight="1">
      <c r="A8" s="18" t="inlineStr">
        <is>
          <t>F001</t>
        </is>
      </c>
      <c r="B8" s="39" t="n">
        <v>46280</v>
      </c>
      <c r="C8" s="18" t="inlineStr">
        <is>
          <t>Upper</t>
        </is>
      </c>
      <c r="D8" s="18" t="inlineStr">
        <is>
          <t>Remada articulada</t>
        </is>
      </c>
      <c r="E8" s="18" t="inlineStr">
        <is>
          <t>Costas</t>
        </is>
      </c>
      <c r="F8" s="18" t="n">
        <v>2</v>
      </c>
      <c r="G8" s="18" t="n">
        <v>3</v>
      </c>
      <c r="H8" s="18" t="n">
        <v>8</v>
      </c>
      <c r="I8" s="18" t="n">
        <v>12</v>
      </c>
      <c r="J8" s="18" t="n">
        <v>3</v>
      </c>
      <c r="K8" s="18" t="n">
        <v>2</v>
      </c>
      <c r="L8" s="18" t="n">
        <v>150</v>
      </c>
      <c r="M8" s="18" t="inlineStr">
        <is>
          <t>Remada baixa</t>
        </is>
      </c>
      <c r="N8" s="18" t="inlineStr">
        <is>
          <t>A revisar</t>
        </is>
      </c>
      <c r="O8" s="18" t="inlineStr">
        <is>
          <t>Primeiras 2 semanas: 2 séries. Coluna de 3 séries depende da recuperação.</t>
        </is>
      </c>
      <c r="P8" s="45" t="n">
        <v>46280</v>
      </c>
      <c r="Q8" s="45" t="n">
        <v>46292</v>
      </c>
      <c r="R8" s="1" t="inlineStr">
        <is>
          <t>Encerrada</t>
        </is>
      </c>
      <c r="S8" s="1" t="n"/>
      <c r="T8" s="1" t="n"/>
      <c r="U8" s="1" t="n"/>
      <c r="V8" s="1" t="n"/>
      <c r="W8" s="1" t="n"/>
      <c r="X8" s="1" t="n"/>
      <c r="Y8" s="1" t="n"/>
      <c r="Z8" s="1" t="n"/>
      <c r="AA8" s="1" t="n"/>
      <c r="AB8" s="1" t="n"/>
      <c r="AC8" s="1" t="n"/>
      <c r="AD8" s="1" t="n"/>
      <c r="AE8" s="1" t="n"/>
      <c r="AF8" s="1" t="n"/>
      <c r="AG8" s="1" t="n"/>
    </row>
    <row r="9" ht="22.5" customHeight="1">
      <c r="A9" s="18" t="inlineStr">
        <is>
          <t>F001</t>
        </is>
      </c>
      <c r="B9" s="39" t="n">
        <v>46280</v>
      </c>
      <c r="C9" s="18" t="inlineStr">
        <is>
          <t>Upper</t>
        </is>
      </c>
      <c r="D9" s="18" t="inlineStr">
        <is>
          <t>Supino reto máquina</t>
        </is>
      </c>
      <c r="E9" s="18" t="inlineStr">
        <is>
          <t>Peito</t>
        </is>
      </c>
      <c r="F9" s="18" t="n">
        <v>2</v>
      </c>
      <c r="G9" s="18" t="n">
        <v>2</v>
      </c>
      <c r="H9" s="18" t="n">
        <v>8</v>
      </c>
      <c r="I9" s="18" t="n">
        <v>12</v>
      </c>
      <c r="J9" s="18" t="n">
        <v>3</v>
      </c>
      <c r="K9" s="18" t="n">
        <v>2</v>
      </c>
      <c r="L9" s="18" t="n">
        <v>150</v>
      </c>
      <c r="M9" s="18" t="inlineStr">
        <is>
          <t>Supino com halteres</t>
        </is>
      </c>
      <c r="N9" s="18" t="inlineStr">
        <is>
          <t>A revisar</t>
        </is>
      </c>
      <c r="O9" s="18" t="inlineStr">
        <is>
          <t>Primeiras 2 semanas: 2 séries. Coluna de 3 séries depende da recuperação.</t>
        </is>
      </c>
      <c r="P9" s="45" t="n">
        <v>46280</v>
      </c>
      <c r="Q9" s="45" t="n">
        <v>46292</v>
      </c>
      <c r="R9" s="1" t="inlineStr">
        <is>
          <t>Encerrada</t>
        </is>
      </c>
      <c r="S9" s="1" t="n"/>
      <c r="T9" s="1" t="n"/>
      <c r="U9" s="1" t="n"/>
      <c r="V9" s="1" t="n"/>
      <c r="W9" s="1" t="n"/>
      <c r="X9" s="1" t="n"/>
      <c r="Y9" s="1" t="n"/>
      <c r="Z9" s="1" t="n"/>
      <c r="AA9" s="1" t="n"/>
      <c r="AB9" s="1" t="n"/>
      <c r="AC9" s="1" t="n"/>
      <c r="AD9" s="1" t="n"/>
      <c r="AE9" s="1" t="n"/>
      <c r="AF9" s="1" t="n"/>
      <c r="AG9" s="1" t="n"/>
    </row>
    <row r="10" ht="22.5" customHeight="1">
      <c r="A10" s="18" t="inlineStr">
        <is>
          <t>F001</t>
        </is>
      </c>
      <c r="B10" s="39" t="n">
        <v>46280</v>
      </c>
      <c r="C10" s="18" t="inlineStr">
        <is>
          <t>Upper</t>
        </is>
      </c>
      <c r="D10" s="18" t="inlineStr">
        <is>
          <t>Elevação lateral</t>
        </is>
      </c>
      <c r="E10" s="18" t="inlineStr">
        <is>
          <t>Ombros</t>
        </is>
      </c>
      <c r="F10" s="18" t="n">
        <v>2</v>
      </c>
      <c r="G10" s="18" t="n">
        <v>3</v>
      </c>
      <c r="H10" s="18" t="n">
        <v>12</v>
      </c>
      <c r="I10" s="18" t="n">
        <v>15</v>
      </c>
      <c r="J10" s="18" t="n">
        <v>3</v>
      </c>
      <c r="K10" s="18" t="n">
        <v>2</v>
      </c>
      <c r="L10" s="18" t="n">
        <v>120</v>
      </c>
      <c r="M10" s="18" t="inlineStr">
        <is>
          <t>Elevação lateral na polia</t>
        </is>
      </c>
      <c r="N10" s="18" t="inlineStr">
        <is>
          <t>A revisar</t>
        </is>
      </c>
      <c r="O10" s="18" t="inlineStr">
        <is>
          <t>Primeiras 2 semanas: 2 séries. Coluna de 3 séries depende da recuperação.</t>
        </is>
      </c>
      <c r="P10" s="45" t="n">
        <v>46280</v>
      </c>
      <c r="Q10" s="45" t="n">
        <v>46292</v>
      </c>
      <c r="R10" s="1" t="inlineStr">
        <is>
          <t>Encerrada</t>
        </is>
      </c>
      <c r="S10" s="1" t="n"/>
      <c r="T10" s="1" t="n"/>
      <c r="U10" s="1" t="n"/>
      <c r="V10" s="1" t="n"/>
      <c r="W10" s="1" t="n"/>
      <c r="X10" s="1" t="n"/>
      <c r="Y10" s="1" t="n"/>
      <c r="Z10" s="1" t="n"/>
      <c r="AA10" s="1" t="n"/>
      <c r="AB10" s="1" t="n"/>
      <c r="AC10" s="1" t="n"/>
      <c r="AD10" s="1" t="n"/>
      <c r="AE10" s="1" t="n"/>
      <c r="AF10" s="1" t="n"/>
      <c r="AG10" s="1" t="n"/>
    </row>
    <row r="11" ht="22.5" customHeight="1">
      <c r="A11" s="18" t="inlineStr">
        <is>
          <t>F001</t>
        </is>
      </c>
      <c r="B11" s="39" t="n">
        <v>46280</v>
      </c>
      <c r="C11" s="18" t="inlineStr">
        <is>
          <t>Upper</t>
        </is>
      </c>
      <c r="D11" s="18" t="inlineStr">
        <is>
          <t>Crucifixo inverso</t>
        </is>
      </c>
      <c r="E11" s="18" t="inlineStr">
        <is>
          <t>Ombros</t>
        </is>
      </c>
      <c r="F11" s="18" t="n">
        <v>2</v>
      </c>
      <c r="G11" s="18" t="n">
        <v>2</v>
      </c>
      <c r="H11" s="18" t="n">
        <v>12</v>
      </c>
      <c r="I11" s="18" t="n">
        <v>15</v>
      </c>
      <c r="J11" s="18" t="n">
        <v>3</v>
      </c>
      <c r="K11" s="18" t="n">
        <v>2</v>
      </c>
      <c r="L11" s="18" t="n">
        <v>120</v>
      </c>
      <c r="M11" s="18" t="inlineStr">
        <is>
          <t>Peck deck inverso</t>
        </is>
      </c>
      <c r="N11" s="18" t="inlineStr">
        <is>
          <t>A revisar</t>
        </is>
      </c>
      <c r="O11" s="18" t="inlineStr">
        <is>
          <t>Primeiras 2 semanas: 2 séries. Coluna de 3 séries depende da recuperação.</t>
        </is>
      </c>
      <c r="P11" s="45" t="n">
        <v>46280</v>
      </c>
      <c r="Q11" s="45" t="n">
        <v>46292</v>
      </c>
      <c r="R11" s="1" t="inlineStr">
        <is>
          <t>Encerrada</t>
        </is>
      </c>
      <c r="S11" s="1" t="n"/>
      <c r="T11" s="1" t="n"/>
      <c r="U11" s="1" t="n"/>
      <c r="V11" s="1" t="n"/>
      <c r="W11" s="1" t="n"/>
      <c r="X11" s="1" t="n"/>
      <c r="Y11" s="1" t="n"/>
      <c r="Z11" s="1" t="n"/>
      <c r="AA11" s="1" t="n"/>
      <c r="AB11" s="1" t="n"/>
      <c r="AC11" s="1" t="n"/>
      <c r="AD11" s="1" t="n"/>
      <c r="AE11" s="1" t="n"/>
      <c r="AF11" s="1" t="n"/>
      <c r="AG11" s="1" t="n"/>
    </row>
    <row r="12" ht="22.5" customHeight="1">
      <c r="A12" s="18" t="inlineStr">
        <is>
          <t>F001</t>
        </is>
      </c>
      <c r="B12" s="39" t="n">
        <v>46280</v>
      </c>
      <c r="C12" s="18" t="inlineStr">
        <is>
          <t>Upper</t>
        </is>
      </c>
      <c r="D12" s="18" t="inlineStr">
        <is>
          <t>Rosca Scott</t>
        </is>
      </c>
      <c r="E12" s="18" t="inlineStr">
        <is>
          <t>Bíceps</t>
        </is>
      </c>
      <c r="F12" s="18" t="n">
        <v>2</v>
      </c>
      <c r="G12" s="18" t="n">
        <v>2</v>
      </c>
      <c r="H12" s="18" t="n">
        <v>8</v>
      </c>
      <c r="I12" s="18" t="n">
        <v>12</v>
      </c>
      <c r="J12" s="18" t="n">
        <v>3</v>
      </c>
      <c r="K12" s="18" t="n">
        <v>2</v>
      </c>
      <c r="L12" s="18" t="n">
        <v>120</v>
      </c>
      <c r="M12" s="18" t="inlineStr">
        <is>
          <t>Rosca alternada</t>
        </is>
      </c>
      <c r="N12" s="18" t="inlineStr">
        <is>
          <t>A revisar</t>
        </is>
      </c>
      <c r="O12" s="18" t="inlineStr">
        <is>
          <t>Primeiras 2 semanas: 2 séries. Coluna de 3 séries depende da recuperação.</t>
        </is>
      </c>
      <c r="P12" s="45" t="n">
        <v>46280</v>
      </c>
      <c r="Q12" s="45" t="n">
        <v>46292</v>
      </c>
      <c r="R12" s="1" t="inlineStr">
        <is>
          <t>Encerrada</t>
        </is>
      </c>
      <c r="S12" s="1" t="n"/>
      <c r="T12" s="1" t="n"/>
      <c r="U12" s="1" t="n"/>
      <c r="V12" s="1" t="n"/>
      <c r="W12" s="1" t="n"/>
      <c r="X12" s="1" t="n"/>
      <c r="Y12" s="1" t="n"/>
      <c r="Z12" s="1" t="n"/>
      <c r="AA12" s="1" t="n"/>
      <c r="AB12" s="1" t="n"/>
      <c r="AC12" s="1" t="n"/>
      <c r="AD12" s="1" t="n"/>
      <c r="AE12" s="1" t="n"/>
      <c r="AF12" s="1" t="n"/>
      <c r="AG12" s="1" t="n"/>
    </row>
    <row r="13" ht="22.5" customHeight="1">
      <c r="A13" s="18" t="inlineStr">
        <is>
          <t>F001</t>
        </is>
      </c>
      <c r="B13" s="39" t="n">
        <v>46280</v>
      </c>
      <c r="C13" s="18" t="inlineStr">
        <is>
          <t>Upper</t>
        </is>
      </c>
      <c r="D13" s="18" t="inlineStr">
        <is>
          <t>Tríceps corda</t>
        </is>
      </c>
      <c r="E13" s="18" t="inlineStr">
        <is>
          <t>Tríceps</t>
        </is>
      </c>
      <c r="F13" s="18" t="n">
        <v>2</v>
      </c>
      <c r="G13" s="18" t="n">
        <v>2</v>
      </c>
      <c r="H13" s="18" t="n">
        <v>8</v>
      </c>
      <c r="I13" s="18" t="n">
        <v>12</v>
      </c>
      <c r="J13" s="18" t="n">
        <v>3</v>
      </c>
      <c r="K13" s="18" t="n">
        <v>2</v>
      </c>
      <c r="L13" s="18" t="n">
        <v>120</v>
      </c>
      <c r="M13" s="18" t="inlineStr">
        <is>
          <t>Tríceps francês</t>
        </is>
      </c>
      <c r="N13" s="18" t="inlineStr">
        <is>
          <t>A revisar</t>
        </is>
      </c>
      <c r="O13" s="18" t="inlineStr">
        <is>
          <t>Primeiras 2 semanas: 2 séries. Coluna de 3 séries depende da recuperação.</t>
        </is>
      </c>
      <c r="P13" s="45" t="n">
        <v>46280</v>
      </c>
      <c r="Q13" s="45" t="n">
        <v>46292</v>
      </c>
      <c r="R13" s="1" t="inlineStr">
        <is>
          <t>Encerrada</t>
        </is>
      </c>
      <c r="S13" s="1" t="n"/>
      <c r="T13" s="1" t="n"/>
      <c r="U13" s="1" t="n"/>
      <c r="V13" s="1" t="n"/>
      <c r="W13" s="1" t="n"/>
      <c r="X13" s="1" t="n"/>
      <c r="Y13" s="1" t="n"/>
      <c r="Z13" s="1" t="n"/>
      <c r="AA13" s="1" t="n"/>
      <c r="AB13" s="1" t="n"/>
      <c r="AC13" s="1" t="n"/>
      <c r="AD13" s="1" t="n"/>
      <c r="AE13" s="1" t="n"/>
      <c r="AF13" s="1" t="n"/>
      <c r="AG13" s="1" t="n"/>
    </row>
    <row r="14" ht="22.5" customHeight="1">
      <c r="A14" s="18" t="inlineStr">
        <is>
          <t>F001</t>
        </is>
      </c>
      <c r="B14" s="39" t="n">
        <v>46280</v>
      </c>
      <c r="C14" s="18" t="inlineStr">
        <is>
          <t>Lower</t>
        </is>
      </c>
      <c r="D14" s="18" t="inlineStr">
        <is>
          <t>Hack / agachamento orientado</t>
        </is>
      </c>
      <c r="E14" s="18" t="inlineStr">
        <is>
          <t>Quadríceps</t>
        </is>
      </c>
      <c r="F14" s="18" t="n">
        <v>2</v>
      </c>
      <c r="G14" s="18" t="n">
        <v>3</v>
      </c>
      <c r="H14" s="18" t="n">
        <v>6</v>
      </c>
      <c r="I14" s="18" t="n">
        <v>10</v>
      </c>
      <c r="J14" s="18" t="n">
        <v>3</v>
      </c>
      <c r="K14" s="18" t="n">
        <v>2</v>
      </c>
      <c r="L14" s="18" t="n">
        <v>150</v>
      </c>
      <c r="M14" s="18" t="inlineStr">
        <is>
          <t>Leg press</t>
        </is>
      </c>
      <c r="N14" s="18" t="inlineStr">
        <is>
          <t>A revisar</t>
        </is>
      </c>
      <c r="O14" s="18" t="inlineStr">
        <is>
          <t>Primeiras 2 semanas: 2 séries. Coluna de 3 séries depende da recuperação.</t>
        </is>
      </c>
      <c r="P14" s="45" t="n">
        <v>46280</v>
      </c>
      <c r="Q14" s="45" t="n">
        <v>46292</v>
      </c>
      <c r="R14" s="1" t="inlineStr">
        <is>
          <t>Encerrada</t>
        </is>
      </c>
      <c r="S14" s="1" t="n"/>
      <c r="T14" s="1" t="n"/>
      <c r="U14" s="1" t="n"/>
      <c r="V14" s="1" t="n"/>
      <c r="W14" s="1" t="n"/>
      <c r="X14" s="1" t="n"/>
      <c r="Y14" s="1" t="n"/>
      <c r="Z14" s="1" t="n"/>
      <c r="AA14" s="1" t="n"/>
      <c r="AB14" s="1" t="n"/>
      <c r="AC14" s="1" t="n"/>
      <c r="AD14" s="1" t="n"/>
      <c r="AE14" s="1" t="n"/>
      <c r="AF14" s="1" t="n"/>
      <c r="AG14" s="1" t="n"/>
    </row>
    <row r="15" ht="22.5" customHeight="1">
      <c r="A15" s="18" t="inlineStr">
        <is>
          <t>F001</t>
        </is>
      </c>
      <c r="B15" s="39" t="n">
        <v>46280</v>
      </c>
      <c r="C15" s="18" t="inlineStr">
        <is>
          <t>Lower</t>
        </is>
      </c>
      <c r="D15" s="18" t="inlineStr">
        <is>
          <t>Leg press</t>
        </is>
      </c>
      <c r="E15" s="18" t="inlineStr">
        <is>
          <t>Quadríceps</t>
        </is>
      </c>
      <c r="F15" s="18" t="n">
        <v>2</v>
      </c>
      <c r="G15" s="18" t="n">
        <v>3</v>
      </c>
      <c r="H15" s="18" t="n">
        <v>8</v>
      </c>
      <c r="I15" s="18" t="n">
        <v>12</v>
      </c>
      <c r="J15" s="18" t="n">
        <v>3</v>
      </c>
      <c r="K15" s="18" t="n">
        <v>2</v>
      </c>
      <c r="L15" s="18" t="n">
        <v>150</v>
      </c>
      <c r="M15" s="18" t="inlineStr">
        <is>
          <t>Cadeira extensora</t>
        </is>
      </c>
      <c r="N15" s="18" t="inlineStr">
        <is>
          <t>A revisar</t>
        </is>
      </c>
      <c r="O15" s="18" t="inlineStr">
        <is>
          <t>Primeiras 2 semanas: 2 séries. Coluna de 3 séries depende da recuperação.</t>
        </is>
      </c>
      <c r="P15" s="45" t="n">
        <v>46280</v>
      </c>
      <c r="Q15" s="45" t="n">
        <v>46292</v>
      </c>
      <c r="R15" s="1" t="inlineStr">
        <is>
          <t>Encerrada</t>
        </is>
      </c>
      <c r="S15" s="1" t="n"/>
      <c r="T15" s="1" t="n"/>
      <c r="U15" s="1" t="n"/>
      <c r="V15" s="1" t="n"/>
      <c r="W15" s="1" t="n"/>
      <c r="X15" s="1" t="n"/>
      <c r="Y15" s="1" t="n"/>
      <c r="Z15" s="1" t="n"/>
      <c r="AA15" s="1" t="n"/>
      <c r="AB15" s="1" t="n"/>
      <c r="AC15" s="1" t="n"/>
      <c r="AD15" s="1" t="n"/>
      <c r="AE15" s="1" t="n"/>
      <c r="AF15" s="1" t="n"/>
      <c r="AG15" s="1" t="n"/>
    </row>
    <row r="16" ht="22.5" customHeight="1">
      <c r="A16" s="18" t="inlineStr">
        <is>
          <t>F001</t>
        </is>
      </c>
      <c r="B16" s="39" t="n">
        <v>46280</v>
      </c>
      <c r="C16" s="18" t="inlineStr">
        <is>
          <t>Lower</t>
        </is>
      </c>
      <c r="D16" s="18" t="inlineStr">
        <is>
          <t>Stiff orientado</t>
        </is>
      </c>
      <c r="E16" s="18" t="inlineStr">
        <is>
          <t>Posteriores</t>
        </is>
      </c>
      <c r="F16" s="18" t="n">
        <v>2</v>
      </c>
      <c r="G16" s="18" t="n">
        <v>3</v>
      </c>
      <c r="H16" s="18" t="n">
        <v>8</v>
      </c>
      <c r="I16" s="18" t="n">
        <v>12</v>
      </c>
      <c r="J16" s="18" t="n">
        <v>3</v>
      </c>
      <c r="K16" s="18" t="n">
        <v>2</v>
      </c>
      <c r="L16" s="18" t="n">
        <v>150</v>
      </c>
      <c r="M16" s="18" t="inlineStr">
        <is>
          <t>Levantamento romeno halteres</t>
        </is>
      </c>
      <c r="N16" s="18" t="inlineStr">
        <is>
          <t>A revisar</t>
        </is>
      </c>
      <c r="O16" s="18" t="inlineStr">
        <is>
          <t>Primeiras 2 semanas: 2 séries. Coluna de 3 séries depende da recuperação.</t>
        </is>
      </c>
      <c r="P16" s="45" t="n">
        <v>46280</v>
      </c>
      <c r="Q16" s="45" t="n">
        <v>46292</v>
      </c>
      <c r="R16" s="1" t="inlineStr">
        <is>
          <t>Encerrada</t>
        </is>
      </c>
      <c r="S16" s="1" t="n"/>
      <c r="T16" s="1" t="n"/>
      <c r="U16" s="1" t="n"/>
      <c r="V16" s="1" t="n"/>
      <c r="W16" s="1" t="n"/>
      <c r="X16" s="1" t="n"/>
      <c r="Y16" s="1" t="n"/>
      <c r="Z16" s="1" t="n"/>
      <c r="AA16" s="1" t="n"/>
      <c r="AB16" s="1" t="n"/>
      <c r="AC16" s="1" t="n"/>
      <c r="AD16" s="1" t="n"/>
      <c r="AE16" s="1" t="n"/>
      <c r="AF16" s="1" t="n"/>
      <c r="AG16" s="1" t="n"/>
    </row>
    <row r="17" ht="22.5" customHeight="1">
      <c r="A17" s="18" t="inlineStr">
        <is>
          <t>F001</t>
        </is>
      </c>
      <c r="B17" s="39" t="n">
        <v>46280</v>
      </c>
      <c r="C17" s="18" t="inlineStr">
        <is>
          <t>Lower</t>
        </is>
      </c>
      <c r="D17" s="18" t="inlineStr">
        <is>
          <t>Mesa flexora</t>
        </is>
      </c>
      <c r="E17" s="18" t="inlineStr">
        <is>
          <t>Posteriores</t>
        </is>
      </c>
      <c r="F17" s="18" t="n">
        <v>2</v>
      </c>
      <c r="G17" s="18" t="n">
        <v>2</v>
      </c>
      <c r="H17" s="18" t="n">
        <v>10</v>
      </c>
      <c r="I17" s="18" t="n">
        <v>15</v>
      </c>
      <c r="J17" s="18" t="n">
        <v>3</v>
      </c>
      <c r="K17" s="18" t="n">
        <v>2</v>
      </c>
      <c r="L17" s="18" t="n">
        <v>150</v>
      </c>
      <c r="M17" s="18" t="inlineStr">
        <is>
          <t>Flexora sentada</t>
        </is>
      </c>
      <c r="N17" s="18" t="inlineStr">
        <is>
          <t>A revisar</t>
        </is>
      </c>
      <c r="O17" s="18" t="inlineStr">
        <is>
          <t>Primeiras 2 semanas: 2 séries. Coluna de 3 séries depende da recuperação.</t>
        </is>
      </c>
      <c r="P17" s="45" t="n">
        <v>46280</v>
      </c>
      <c r="Q17" s="45" t="n">
        <v>46292</v>
      </c>
      <c r="R17" s="1" t="inlineStr">
        <is>
          <t>Encerrada</t>
        </is>
      </c>
      <c r="S17" s="1" t="n"/>
      <c r="T17" s="1" t="n"/>
      <c r="U17" s="1" t="n"/>
      <c r="V17" s="1" t="n"/>
      <c r="W17" s="1" t="n"/>
      <c r="X17" s="1" t="n"/>
      <c r="Y17" s="1" t="n"/>
      <c r="Z17" s="1" t="n"/>
      <c r="AA17" s="1" t="n"/>
      <c r="AB17" s="1" t="n"/>
      <c r="AC17" s="1" t="n"/>
      <c r="AD17" s="1" t="n"/>
      <c r="AE17" s="1" t="n"/>
      <c r="AF17" s="1" t="n"/>
      <c r="AG17" s="1" t="n"/>
    </row>
    <row r="18" ht="22.5" customHeight="1">
      <c r="A18" s="18" t="inlineStr">
        <is>
          <t>F001</t>
        </is>
      </c>
      <c r="B18" s="39" t="n">
        <v>46280</v>
      </c>
      <c r="C18" s="18" t="inlineStr">
        <is>
          <t>Lower</t>
        </is>
      </c>
      <c r="D18" s="18" t="inlineStr">
        <is>
          <t>Panturrilha</t>
        </is>
      </c>
      <c r="E18" s="18" t="inlineStr">
        <is>
          <t>Panturrilhas</t>
        </is>
      </c>
      <c r="F18" s="18" t="n">
        <v>2</v>
      </c>
      <c r="G18" s="18" t="n">
        <v>3</v>
      </c>
      <c r="H18" s="18" t="n">
        <v>10</v>
      </c>
      <c r="I18" s="18" t="n">
        <v>15</v>
      </c>
      <c r="J18" s="18" t="n">
        <v>3</v>
      </c>
      <c r="K18" s="18" t="n">
        <v>2</v>
      </c>
      <c r="L18" s="18" t="n">
        <v>120</v>
      </c>
      <c r="M18" s="18" t="inlineStr">
        <is>
          <t>Panturrilha sentada</t>
        </is>
      </c>
      <c r="N18" s="18" t="inlineStr">
        <is>
          <t>A revisar</t>
        </is>
      </c>
      <c r="O18" s="18" t="inlineStr">
        <is>
          <t>Primeiras 2 semanas: 2 séries. Coluna de 3 séries depende da recuperação.</t>
        </is>
      </c>
      <c r="P18" s="45" t="n">
        <v>46280</v>
      </c>
      <c r="Q18" s="45" t="n">
        <v>46292</v>
      </c>
      <c r="R18" s="1" t="inlineStr">
        <is>
          <t>Encerrada</t>
        </is>
      </c>
      <c r="S18" s="1" t="n"/>
      <c r="T18" s="1" t="n"/>
      <c r="U18" s="1" t="n"/>
      <c r="V18" s="1" t="n"/>
      <c r="W18" s="1" t="n"/>
      <c r="X18" s="1" t="n"/>
      <c r="Y18" s="1" t="n"/>
      <c r="Z18" s="1" t="n"/>
      <c r="AA18" s="1" t="n"/>
      <c r="AB18" s="1" t="n"/>
      <c r="AC18" s="1" t="n"/>
      <c r="AD18" s="1" t="n"/>
      <c r="AE18" s="1" t="n"/>
      <c r="AF18" s="1" t="n"/>
      <c r="AG18" s="1" t="n"/>
    </row>
    <row r="19" ht="22.5" customHeight="1">
      <c r="A19" s="18" t="inlineStr">
        <is>
          <t>F001</t>
        </is>
      </c>
      <c r="B19" s="39" t="n">
        <v>46280</v>
      </c>
      <c r="C19" s="18" t="inlineStr">
        <is>
          <t>Lower</t>
        </is>
      </c>
      <c r="D19" s="18" t="inlineStr">
        <is>
          <t>Abdominal na polia</t>
        </is>
      </c>
      <c r="E19" s="18" t="inlineStr">
        <is>
          <t>Abdômen</t>
        </is>
      </c>
      <c r="F19" s="18" t="n">
        <v>2</v>
      </c>
      <c r="G19" s="18" t="n">
        <v>2</v>
      </c>
      <c r="H19" s="18" t="n">
        <v>10</v>
      </c>
      <c r="I19" s="18" t="n">
        <v>15</v>
      </c>
      <c r="J19" s="18" t="n">
        <v>3</v>
      </c>
      <c r="K19" s="18" t="n">
        <v>2</v>
      </c>
      <c r="L19" s="18" t="n">
        <v>120</v>
      </c>
      <c r="M19" s="18" t="inlineStr">
        <is>
          <t>Abdominal máquina</t>
        </is>
      </c>
      <c r="N19" s="18" t="inlineStr">
        <is>
          <t>A revisar</t>
        </is>
      </c>
      <c r="O19" s="18" t="inlineStr">
        <is>
          <t>Primeiras 2 semanas: 2 séries. Coluna de 3 séries depende da recuperação.</t>
        </is>
      </c>
      <c r="P19" s="45" t="n">
        <v>46280</v>
      </c>
      <c r="Q19" s="45" t="n">
        <v>46292</v>
      </c>
      <c r="R19" s="1" t="inlineStr">
        <is>
          <t>Encerrada</t>
        </is>
      </c>
      <c r="S19" s="1" t="n"/>
      <c r="T19" s="1" t="n"/>
      <c r="U19" s="1" t="n"/>
      <c r="V19" s="1" t="n"/>
      <c r="W19" s="1" t="n"/>
      <c r="X19" s="1" t="n"/>
      <c r="Y19" s="1" t="n"/>
      <c r="Z19" s="1" t="n"/>
      <c r="AA19" s="1" t="n"/>
      <c r="AB19" s="1" t="n"/>
      <c r="AC19" s="1" t="n"/>
      <c r="AD19" s="1" t="n"/>
      <c r="AE19" s="1" t="n"/>
      <c r="AF19" s="1" t="n"/>
      <c r="AG19" s="1" t="n"/>
    </row>
    <row r="20" ht="22.5" customHeight="1">
      <c r="A20" s="18" t="inlineStr">
        <is>
          <t>F001</t>
        </is>
      </c>
      <c r="B20" s="39" t="n">
        <v>46280</v>
      </c>
      <c r="C20" s="18" t="inlineStr">
        <is>
          <t>Full Body</t>
        </is>
      </c>
      <c r="D20" s="18" t="inlineStr">
        <is>
          <t>Leg press</t>
        </is>
      </c>
      <c r="E20" s="18" t="inlineStr">
        <is>
          <t>Quadríceps</t>
        </is>
      </c>
      <c r="F20" s="18" t="n">
        <v>2</v>
      </c>
      <c r="G20" s="18" t="n">
        <v>2</v>
      </c>
      <c r="H20" s="18" t="n">
        <v>8</v>
      </c>
      <c r="I20" s="18" t="n">
        <v>12</v>
      </c>
      <c r="J20" s="18" t="n">
        <v>3</v>
      </c>
      <c r="K20" s="18" t="n">
        <v>2</v>
      </c>
      <c r="L20" s="18" t="n">
        <v>150</v>
      </c>
      <c r="M20" s="18" t="inlineStr">
        <is>
          <t>Hack</t>
        </is>
      </c>
      <c r="N20" s="18" t="inlineStr">
        <is>
          <t>A revisar</t>
        </is>
      </c>
      <c r="O20" s="18" t="inlineStr">
        <is>
          <t>Primeiras 2 semanas: 2 séries. Coluna de 3 séries depende da recuperação.</t>
        </is>
      </c>
      <c r="P20" s="45" t="n">
        <v>46280</v>
      </c>
      <c r="Q20" s="45" t="n">
        <v>46292</v>
      </c>
      <c r="R20" s="1" t="inlineStr">
        <is>
          <t>Encerrada</t>
        </is>
      </c>
      <c r="S20" s="1" t="n"/>
      <c r="T20" s="1" t="n"/>
      <c r="U20" s="1" t="n"/>
      <c r="V20" s="1" t="n"/>
      <c r="W20" s="1" t="n"/>
      <c r="X20" s="1" t="n"/>
      <c r="Y20" s="1" t="n"/>
      <c r="Z20" s="1" t="n"/>
      <c r="AA20" s="1" t="n"/>
      <c r="AB20" s="1" t="n"/>
      <c r="AC20" s="1" t="n"/>
      <c r="AD20" s="1" t="n"/>
      <c r="AE20" s="1" t="n"/>
      <c r="AF20" s="1" t="n"/>
      <c r="AG20" s="1" t="n"/>
    </row>
    <row r="21" ht="22.5" customHeight="1">
      <c r="A21" s="18" t="inlineStr">
        <is>
          <t>F001</t>
        </is>
      </c>
      <c r="B21" s="39" t="n">
        <v>46280</v>
      </c>
      <c r="C21" s="18" t="inlineStr">
        <is>
          <t>Full Body</t>
        </is>
      </c>
      <c r="D21" s="18" t="inlineStr">
        <is>
          <t>Supino inclinado halteres</t>
        </is>
      </c>
      <c r="E21" s="18" t="inlineStr">
        <is>
          <t>Peito</t>
        </is>
      </c>
      <c r="F21" s="18" t="n">
        <v>2</v>
      </c>
      <c r="G21" s="18" t="n">
        <v>3</v>
      </c>
      <c r="H21" s="18" t="n">
        <v>8</v>
      </c>
      <c r="I21" s="18" t="n">
        <v>12</v>
      </c>
      <c r="J21" s="18" t="n">
        <v>3</v>
      </c>
      <c r="K21" s="18" t="n">
        <v>2</v>
      </c>
      <c r="L21" s="18" t="n">
        <v>150</v>
      </c>
      <c r="M21" s="18" t="inlineStr">
        <is>
          <t>Supino inclinado máquina</t>
        </is>
      </c>
      <c r="N21" s="18" t="inlineStr">
        <is>
          <t>A revisar</t>
        </is>
      </c>
      <c r="O21" s="18" t="inlineStr">
        <is>
          <t>Primeiras 2 semanas: 2 séries. Coluna de 3 séries depende da recuperação.</t>
        </is>
      </c>
      <c r="P21" s="45" t="n">
        <v>46280</v>
      </c>
      <c r="Q21" s="45" t="n">
        <v>46292</v>
      </c>
      <c r="R21" s="1" t="inlineStr">
        <is>
          <t>Encerrada</t>
        </is>
      </c>
      <c r="S21" s="1" t="n"/>
      <c r="T21" s="1" t="n"/>
      <c r="U21" s="1" t="n"/>
      <c r="V21" s="1" t="n"/>
      <c r="W21" s="1" t="n"/>
      <c r="X21" s="1" t="n"/>
      <c r="Y21" s="1" t="n"/>
      <c r="Z21" s="1" t="n"/>
      <c r="AA21" s="1" t="n"/>
      <c r="AB21" s="1" t="n"/>
      <c r="AC21" s="1" t="n"/>
      <c r="AD21" s="1" t="n"/>
      <c r="AE21" s="1" t="n"/>
      <c r="AF21" s="1" t="n"/>
      <c r="AG21" s="1" t="n"/>
    </row>
    <row r="22" ht="22.5" customHeight="1">
      <c r="A22" s="18" t="inlineStr">
        <is>
          <t>F001</t>
        </is>
      </c>
      <c r="B22" s="39" t="n">
        <v>46280</v>
      </c>
      <c r="C22" s="18" t="inlineStr">
        <is>
          <t>Full Body</t>
        </is>
      </c>
      <c r="D22" s="18" t="inlineStr">
        <is>
          <t>Puxada neutra</t>
        </is>
      </c>
      <c r="E22" s="18" t="inlineStr">
        <is>
          <t>Costas</t>
        </is>
      </c>
      <c r="F22" s="18" t="n">
        <v>2</v>
      </c>
      <c r="G22" s="18" t="n">
        <v>3</v>
      </c>
      <c r="H22" s="18" t="n">
        <v>8</v>
      </c>
      <c r="I22" s="18" t="n">
        <v>12</v>
      </c>
      <c r="J22" s="18" t="n">
        <v>3</v>
      </c>
      <c r="K22" s="18" t="n">
        <v>2</v>
      </c>
      <c r="L22" s="18" t="n">
        <v>150</v>
      </c>
      <c r="M22" s="18" t="inlineStr">
        <is>
          <t>Puxada aberta</t>
        </is>
      </c>
      <c r="N22" s="18" t="inlineStr">
        <is>
          <t>A revisar</t>
        </is>
      </c>
      <c r="O22" s="18" t="inlineStr">
        <is>
          <t>Primeiras 2 semanas: 2 séries. Coluna de 3 séries depende da recuperação.</t>
        </is>
      </c>
      <c r="P22" s="45" t="n">
        <v>46280</v>
      </c>
      <c r="Q22" s="45" t="n">
        <v>46292</v>
      </c>
      <c r="R22" s="1" t="inlineStr">
        <is>
          <t>Encerrada</t>
        </is>
      </c>
      <c r="S22" s="1" t="n"/>
      <c r="T22" s="1" t="n"/>
      <c r="U22" s="1" t="n"/>
      <c r="V22" s="1" t="n"/>
      <c r="W22" s="1" t="n"/>
      <c r="X22" s="1" t="n"/>
      <c r="Y22" s="1" t="n"/>
      <c r="Z22" s="1" t="n"/>
      <c r="AA22" s="1" t="n"/>
      <c r="AB22" s="1" t="n"/>
      <c r="AC22" s="1" t="n"/>
      <c r="AD22" s="1" t="n"/>
      <c r="AE22" s="1" t="n"/>
      <c r="AF22" s="1" t="n"/>
      <c r="AG22" s="1" t="n"/>
    </row>
    <row r="23" ht="22.5" customHeight="1">
      <c r="A23" s="18" t="inlineStr">
        <is>
          <t>F001</t>
        </is>
      </c>
      <c r="B23" s="39" t="n">
        <v>46280</v>
      </c>
      <c r="C23" s="18" t="inlineStr">
        <is>
          <t>Full Body</t>
        </is>
      </c>
      <c r="D23" s="18" t="inlineStr">
        <is>
          <t>Remada com apoio</t>
        </is>
      </c>
      <c r="E23" s="18" t="inlineStr">
        <is>
          <t>Costas</t>
        </is>
      </c>
      <c r="F23" s="18" t="n">
        <v>2</v>
      </c>
      <c r="G23" s="18" t="n">
        <v>2</v>
      </c>
      <c r="H23" s="18" t="n">
        <v>8</v>
      </c>
      <c r="I23" s="18" t="n">
        <v>12</v>
      </c>
      <c r="J23" s="18" t="n">
        <v>3</v>
      </c>
      <c r="K23" s="18" t="n">
        <v>2</v>
      </c>
      <c r="L23" s="18" t="n">
        <v>150</v>
      </c>
      <c r="M23" s="18" t="inlineStr">
        <is>
          <t>Remada articulada</t>
        </is>
      </c>
      <c r="N23" s="18" t="inlineStr">
        <is>
          <t>A revisar</t>
        </is>
      </c>
      <c r="O23" s="18" t="inlineStr">
        <is>
          <t>Primeiras 2 semanas: 2 séries. Coluna de 3 séries depende da recuperação.</t>
        </is>
      </c>
      <c r="P23" s="45" t="n">
        <v>46280</v>
      </c>
      <c r="Q23" s="45" t="n">
        <v>46292</v>
      </c>
      <c r="R23" s="1" t="inlineStr">
        <is>
          <t>Encerrada</t>
        </is>
      </c>
      <c r="S23" s="1" t="n"/>
      <c r="T23" s="1" t="n"/>
      <c r="U23" s="1" t="n"/>
      <c r="V23" s="1" t="n"/>
      <c r="W23" s="1" t="n"/>
      <c r="X23" s="1" t="n"/>
      <c r="Y23" s="1" t="n"/>
      <c r="Z23" s="1" t="n"/>
      <c r="AA23" s="1" t="n"/>
      <c r="AB23" s="1" t="n"/>
      <c r="AC23" s="1" t="n"/>
      <c r="AD23" s="1" t="n"/>
      <c r="AE23" s="1" t="n"/>
      <c r="AF23" s="1" t="n"/>
      <c r="AG23" s="1" t="n"/>
    </row>
    <row r="24" ht="22.5" customHeight="1">
      <c r="A24" s="18" t="inlineStr">
        <is>
          <t>F001</t>
        </is>
      </c>
      <c r="B24" s="39" t="n">
        <v>46280</v>
      </c>
      <c r="C24" s="18" t="inlineStr">
        <is>
          <t>Full Body</t>
        </is>
      </c>
      <c r="D24" s="18" t="inlineStr">
        <is>
          <t>Elevação lateral</t>
        </is>
      </c>
      <c r="E24" s="18" t="inlineStr">
        <is>
          <t>Ombros</t>
        </is>
      </c>
      <c r="F24" s="18" t="n">
        <v>2</v>
      </c>
      <c r="G24" s="18" t="n">
        <v>3</v>
      </c>
      <c r="H24" s="18" t="n">
        <v>12</v>
      </c>
      <c r="I24" s="18" t="n">
        <v>15</v>
      </c>
      <c r="J24" s="18" t="n">
        <v>3</v>
      </c>
      <c r="K24" s="18" t="n">
        <v>2</v>
      </c>
      <c r="L24" s="18" t="n">
        <v>120</v>
      </c>
      <c r="M24" s="18" t="inlineStr">
        <is>
          <t>Elevação lateral na polia</t>
        </is>
      </c>
      <c r="N24" s="18" t="inlineStr">
        <is>
          <t>A revisar</t>
        </is>
      </c>
      <c r="O24" s="18" t="inlineStr">
        <is>
          <t>Primeiras 2 semanas: 2 séries. Coluna de 3 séries depende da recuperação.</t>
        </is>
      </c>
      <c r="P24" s="45" t="n">
        <v>46280</v>
      </c>
      <c r="Q24" s="45" t="n">
        <v>46292</v>
      </c>
      <c r="R24" s="1" t="inlineStr">
        <is>
          <t>Encerrada</t>
        </is>
      </c>
      <c r="S24" s="1" t="n"/>
      <c r="T24" s="1" t="n"/>
      <c r="U24" s="1" t="n"/>
      <c r="V24" s="1" t="n"/>
      <c r="W24" s="1" t="n"/>
      <c r="X24" s="1" t="n"/>
      <c r="Y24" s="1" t="n"/>
      <c r="Z24" s="1" t="n"/>
      <c r="AA24" s="1" t="n"/>
      <c r="AB24" s="1" t="n"/>
      <c r="AC24" s="1" t="n"/>
      <c r="AD24" s="1" t="n"/>
      <c r="AE24" s="1" t="n"/>
      <c r="AF24" s="1" t="n"/>
      <c r="AG24" s="1" t="n"/>
    </row>
    <row r="25" ht="22.5" customHeight="1">
      <c r="A25" s="18" t="inlineStr">
        <is>
          <t>F001</t>
        </is>
      </c>
      <c r="B25" s="39" t="n">
        <v>46280</v>
      </c>
      <c r="C25" s="18" t="inlineStr">
        <is>
          <t>Full Body</t>
        </is>
      </c>
      <c r="D25" s="18" t="inlineStr">
        <is>
          <t>Crucifixo inverso</t>
        </is>
      </c>
      <c r="E25" s="18" t="inlineStr">
        <is>
          <t>Ombros</t>
        </is>
      </c>
      <c r="F25" s="18" t="n">
        <v>2</v>
      </c>
      <c r="G25" s="18" t="n">
        <v>2</v>
      </c>
      <c r="H25" s="18" t="n">
        <v>12</v>
      </c>
      <c r="I25" s="18" t="n">
        <v>15</v>
      </c>
      <c r="J25" s="18" t="n">
        <v>3</v>
      </c>
      <c r="K25" s="18" t="n">
        <v>2</v>
      </c>
      <c r="L25" s="18" t="n">
        <v>120</v>
      </c>
      <c r="M25" s="18" t="inlineStr">
        <is>
          <t>Face pull</t>
        </is>
      </c>
      <c r="N25" s="18" t="inlineStr">
        <is>
          <t>A revisar</t>
        </is>
      </c>
      <c r="O25" s="18" t="inlineStr">
        <is>
          <t>Primeiras 2 semanas: 2 séries. Coluna de 3 séries depende da recuperação.</t>
        </is>
      </c>
      <c r="P25" s="45" t="n">
        <v>46280</v>
      </c>
      <c r="Q25" s="45" t="n">
        <v>46292</v>
      </c>
      <c r="R25" s="1" t="inlineStr">
        <is>
          <t>Encerrada</t>
        </is>
      </c>
      <c r="S25" s="1" t="n"/>
      <c r="T25" s="1" t="n"/>
      <c r="U25" s="1" t="n"/>
      <c r="V25" s="1" t="n"/>
      <c r="W25" s="1" t="n"/>
      <c r="X25" s="1" t="n"/>
      <c r="Y25" s="1" t="n"/>
      <c r="Z25" s="1" t="n"/>
      <c r="AA25" s="1" t="n"/>
      <c r="AB25" s="1" t="n"/>
      <c r="AC25" s="1" t="n"/>
      <c r="AD25" s="1" t="n"/>
      <c r="AE25" s="1" t="n"/>
      <c r="AF25" s="1" t="n"/>
      <c r="AG25" s="1" t="n"/>
    </row>
    <row r="26" ht="22.5" customHeight="1">
      <c r="A26" s="18" t="inlineStr">
        <is>
          <t>F001</t>
        </is>
      </c>
      <c r="B26" s="39" t="n">
        <v>46280</v>
      </c>
      <c r="C26" s="18" t="inlineStr">
        <is>
          <t>Full Body</t>
        </is>
      </c>
      <c r="D26" s="18" t="inlineStr">
        <is>
          <t>Rosca alternada</t>
        </is>
      </c>
      <c r="E26" s="18" t="inlineStr">
        <is>
          <t>Bíceps</t>
        </is>
      </c>
      <c r="F26" s="18" t="n">
        <v>2</v>
      </c>
      <c r="G26" s="18" t="n">
        <v>2</v>
      </c>
      <c r="H26" s="18" t="n">
        <v>10</v>
      </c>
      <c r="I26" s="18" t="n">
        <v>15</v>
      </c>
      <c r="J26" s="18" t="n">
        <v>3</v>
      </c>
      <c r="K26" s="18" t="n">
        <v>2</v>
      </c>
      <c r="L26" s="18" t="n">
        <v>120</v>
      </c>
      <c r="M26" s="18" t="inlineStr">
        <is>
          <t>Rosca na polia</t>
        </is>
      </c>
      <c r="N26" s="18" t="inlineStr">
        <is>
          <t>A revisar</t>
        </is>
      </c>
      <c r="O26" s="18" t="inlineStr">
        <is>
          <t>Primeiras 2 semanas: 2 séries. Coluna de 3 séries depende da recuperação.</t>
        </is>
      </c>
      <c r="P26" s="45" t="n">
        <v>46280</v>
      </c>
      <c r="Q26" s="45" t="n">
        <v>46292</v>
      </c>
      <c r="R26" s="1" t="inlineStr">
        <is>
          <t>Encerrada</t>
        </is>
      </c>
      <c r="S26" s="1" t="n"/>
      <c r="T26" s="1" t="n"/>
      <c r="U26" s="1" t="n"/>
      <c r="V26" s="1" t="n"/>
      <c r="W26" s="1" t="n"/>
      <c r="X26" s="1" t="n"/>
      <c r="Y26" s="1" t="n"/>
      <c r="Z26" s="1" t="n"/>
      <c r="AA26" s="1" t="n"/>
      <c r="AB26" s="1" t="n"/>
      <c r="AC26" s="1" t="n"/>
      <c r="AD26" s="1" t="n"/>
      <c r="AE26" s="1" t="n"/>
      <c r="AF26" s="1" t="n"/>
      <c r="AG26" s="1" t="n"/>
    </row>
    <row r="27" ht="22.5" customHeight="1">
      <c r="A27" s="18" t="inlineStr">
        <is>
          <t>F001</t>
        </is>
      </c>
      <c r="B27" s="39" t="n">
        <v>46280</v>
      </c>
      <c r="C27" s="18" t="inlineStr">
        <is>
          <t>Full Body</t>
        </is>
      </c>
      <c r="D27" s="18" t="inlineStr">
        <is>
          <t>Tríceps corda</t>
        </is>
      </c>
      <c r="E27" s="18" t="inlineStr">
        <is>
          <t>Tríceps</t>
        </is>
      </c>
      <c r="F27" s="18" t="n">
        <v>2</v>
      </c>
      <c r="G27" s="18" t="n">
        <v>2</v>
      </c>
      <c r="H27" s="18" t="n">
        <v>10</v>
      </c>
      <c r="I27" s="18" t="n">
        <v>15</v>
      </c>
      <c r="J27" s="18" t="n">
        <v>3</v>
      </c>
      <c r="K27" s="18" t="n">
        <v>2</v>
      </c>
      <c r="L27" s="18" t="n">
        <v>120</v>
      </c>
      <c r="M27" s="18" t="inlineStr">
        <is>
          <t>Tríceps francês</t>
        </is>
      </c>
      <c r="N27" s="18" t="inlineStr">
        <is>
          <t>A revisar</t>
        </is>
      </c>
      <c r="O27" s="18" t="inlineStr">
        <is>
          <t>Primeiras 2 semanas: 2 séries. Coluna de 3 séries depende da recuperação.</t>
        </is>
      </c>
      <c r="P27" s="45" t="n">
        <v>46280</v>
      </c>
      <c r="Q27" s="45" t="n">
        <v>46292</v>
      </c>
      <c r="R27" s="1" t="inlineStr">
        <is>
          <t>Encerrada</t>
        </is>
      </c>
      <c r="S27" s="1" t="n"/>
      <c r="T27" s="1" t="n"/>
      <c r="U27" s="1" t="n"/>
      <c r="V27" s="1" t="n"/>
      <c r="W27" s="1" t="n"/>
      <c r="X27" s="1" t="n"/>
      <c r="Y27" s="1" t="n"/>
      <c r="Z27" s="1" t="n"/>
      <c r="AA27" s="1" t="n"/>
      <c r="AB27" s="1" t="n"/>
      <c r="AC27" s="1" t="n"/>
      <c r="AD27" s="1" t="n"/>
      <c r="AE27" s="1" t="n"/>
      <c r="AF27" s="1" t="n"/>
      <c r="AG27" s="1" t="n"/>
    </row>
    <row r="28" ht="22.5" customHeight="1">
      <c r="A28" s="18" t="inlineStr">
        <is>
          <t>F002</t>
        </is>
      </c>
      <c r="B28" s="38" t="n">
        <v>46293</v>
      </c>
      <c r="C28" s="18" t="inlineStr">
        <is>
          <t>Upper</t>
        </is>
      </c>
      <c r="D28" s="18" t="inlineStr">
        <is>
          <t>Supino inclinado</t>
        </is>
      </c>
      <c r="E28" s="18" t="inlineStr">
        <is>
          <t>Peito</t>
        </is>
      </c>
      <c r="F28" s="18" t="n">
        <v>2</v>
      </c>
      <c r="G28" s="18" t="n">
        <v>2</v>
      </c>
      <c r="H28" s="18" t="n">
        <v>6</v>
      </c>
      <c r="I28" s="18" t="n">
        <v>10</v>
      </c>
      <c r="J28" s="18" t="n">
        <v>1</v>
      </c>
      <c r="K28" s="18" t="n">
        <v>1</v>
      </c>
      <c r="L28" s="18" t="n">
        <v>150</v>
      </c>
      <c r="M28" s="18" t="inlineStr">
        <is>
          <t>Supino inclinado máquina</t>
        </is>
      </c>
      <c r="N28" s="18" t="inlineStr">
        <is>
          <t>Confirmado por Luan</t>
        </is>
      </c>
      <c r="O28" s="18" t="inlineStr">
        <is>
          <t>1 aquecimento + 1 feeder de 6 reps longe da falha + 2 work sets de 6–10 reps, 0–1 RIR.</t>
        </is>
      </c>
      <c r="P28" s="45" t="n">
        <v>46293</v>
      </c>
      <c r="Q28" s="1" t="n"/>
      <c r="R28" s="1" t="inlineStr">
        <is>
          <t>Vigente</t>
        </is>
      </c>
      <c r="S28" s="1" t="n"/>
      <c r="T28" s="1" t="n"/>
      <c r="U28" s="1" t="n"/>
      <c r="V28" s="1" t="n"/>
      <c r="W28" s="1" t="n"/>
      <c r="X28" s="1" t="n"/>
      <c r="Y28" s="1" t="n"/>
      <c r="Z28" s="1" t="n"/>
      <c r="AA28" s="1" t="n"/>
      <c r="AB28" s="1" t="n"/>
      <c r="AC28" s="1" t="n"/>
      <c r="AD28" s="1" t="n"/>
      <c r="AE28" s="1" t="n"/>
      <c r="AF28" s="1" t="n"/>
      <c r="AG28" s="1" t="n"/>
    </row>
    <row r="29" ht="22.5" customHeight="1">
      <c r="A29" s="18" t="inlineStr">
        <is>
          <t>F002</t>
        </is>
      </c>
      <c r="B29" s="38" t="n">
        <v>46293</v>
      </c>
      <c r="C29" s="18" t="inlineStr">
        <is>
          <t>Upper</t>
        </is>
      </c>
      <c r="D29" s="18" t="inlineStr">
        <is>
          <t>Puxada aberta</t>
        </is>
      </c>
      <c r="E29" s="18" t="inlineStr">
        <is>
          <t>Costas</t>
        </is>
      </c>
      <c r="F29" s="18" t="n">
        <v>2</v>
      </c>
      <c r="G29" s="18" t="n">
        <v>2</v>
      </c>
      <c r="H29" s="18" t="n">
        <v>6</v>
      </c>
      <c r="I29" s="18" t="n">
        <v>10</v>
      </c>
      <c r="J29" s="18" t="n">
        <v>1</v>
      </c>
      <c r="K29" s="18" t="n">
        <v>1</v>
      </c>
      <c r="L29" s="18" t="n">
        <v>150</v>
      </c>
      <c r="M29" s="18" t="n"/>
      <c r="N29" s="18" t="inlineStr">
        <is>
          <t>Confirmado por Luan</t>
        </is>
      </c>
      <c r="O29" s="18" t="inlineStr">
        <is>
          <t>1 aquecimento + 1 feeder de 6 reps longe da falha + 2 work sets de 6–10 reps, 0–1 RIR.</t>
        </is>
      </c>
      <c r="P29" s="45" t="n">
        <v>46293</v>
      </c>
      <c r="Q29" s="1" t="n"/>
      <c r="R29" s="1" t="inlineStr">
        <is>
          <t>Vigente</t>
        </is>
      </c>
      <c r="S29" s="1" t="n"/>
      <c r="T29" s="1" t="n"/>
      <c r="U29" s="1" t="n"/>
      <c r="V29" s="1" t="n"/>
      <c r="W29" s="1" t="n"/>
      <c r="X29" s="1" t="n"/>
      <c r="Y29" s="1" t="n"/>
      <c r="Z29" s="1" t="n"/>
      <c r="AA29" s="1" t="n"/>
      <c r="AB29" s="1" t="n"/>
      <c r="AC29" s="1" t="n"/>
      <c r="AD29" s="1" t="n"/>
      <c r="AE29" s="1" t="n"/>
      <c r="AF29" s="1" t="n"/>
      <c r="AG29" s="1" t="n"/>
    </row>
    <row r="30" ht="22.5" customHeight="1">
      <c r="A30" s="18" t="inlineStr">
        <is>
          <t>F002</t>
        </is>
      </c>
      <c r="B30" s="38" t="n">
        <v>46293</v>
      </c>
      <c r="C30" s="18" t="inlineStr">
        <is>
          <t>Upper</t>
        </is>
      </c>
      <c r="D30" s="18" t="inlineStr">
        <is>
          <t>Remada baixa com triângulo</t>
        </is>
      </c>
      <c r="E30" s="18" t="inlineStr">
        <is>
          <t>Costas</t>
        </is>
      </c>
      <c r="F30" s="18" t="n">
        <v>2</v>
      </c>
      <c r="G30" s="18" t="n">
        <v>2</v>
      </c>
      <c r="H30" s="18" t="n">
        <v>6</v>
      </c>
      <c r="I30" s="18" t="n">
        <v>10</v>
      </c>
      <c r="J30" s="18" t="n">
        <v>1</v>
      </c>
      <c r="K30" s="18" t="n">
        <v>1</v>
      </c>
      <c r="L30" s="18" t="n">
        <v>150</v>
      </c>
      <c r="M30" s="18" t="n"/>
      <c r="N30" s="18" t="inlineStr">
        <is>
          <t>Confirmado por Luan</t>
        </is>
      </c>
      <c r="O30" s="18" t="inlineStr">
        <is>
          <t>1 aquecimento + 1 feeder de 6 reps longe da falha + 2 work sets de 6–10 reps, 0–1 RIR.</t>
        </is>
      </c>
      <c r="P30" s="45" t="n">
        <v>46293</v>
      </c>
      <c r="Q30" s="1" t="n"/>
      <c r="R30" s="1" t="inlineStr">
        <is>
          <t>Vigente</t>
        </is>
      </c>
      <c r="S30" s="1" t="n"/>
      <c r="T30" s="1" t="n"/>
      <c r="U30" s="1" t="n"/>
      <c r="V30" s="1" t="n"/>
      <c r="W30" s="1" t="n"/>
      <c r="X30" s="1" t="n"/>
      <c r="Y30" s="1" t="n"/>
      <c r="Z30" s="1" t="n"/>
      <c r="AA30" s="1" t="n"/>
      <c r="AB30" s="1" t="n"/>
      <c r="AC30" s="1" t="n"/>
      <c r="AD30" s="1" t="n"/>
      <c r="AE30" s="1" t="n"/>
      <c r="AF30" s="1" t="n"/>
      <c r="AG30" s="1" t="n"/>
    </row>
    <row r="31" ht="22.5" customHeight="1">
      <c r="A31" s="18" t="inlineStr">
        <is>
          <t>F002</t>
        </is>
      </c>
      <c r="B31" s="38" t="n">
        <v>46293</v>
      </c>
      <c r="C31" s="18" t="inlineStr">
        <is>
          <t>Upper</t>
        </is>
      </c>
      <c r="D31" s="18" t="inlineStr">
        <is>
          <t>Supino reto na máquina</t>
        </is>
      </c>
      <c r="E31" s="18" t="inlineStr">
        <is>
          <t>Peito</t>
        </is>
      </c>
      <c r="F31" s="18" t="n">
        <v>2</v>
      </c>
      <c r="G31" s="18" t="n">
        <v>2</v>
      </c>
      <c r="H31" s="18" t="n">
        <v>6</v>
      </c>
      <c r="I31" s="18" t="n">
        <v>10</v>
      </c>
      <c r="J31" s="18" t="n">
        <v>1</v>
      </c>
      <c r="K31" s="18" t="n">
        <v>1</v>
      </c>
      <c r="L31" s="18" t="n">
        <v>150</v>
      </c>
      <c r="M31" s="18" t="n"/>
      <c r="N31" s="18" t="inlineStr">
        <is>
          <t>Confirmado por Luan</t>
        </is>
      </c>
      <c r="O31" s="18" t="inlineStr">
        <is>
          <t>1 aquecimento + 1 feeder de 6 reps longe da falha + 2 work sets de 6–10 reps, 0–1 RIR.</t>
        </is>
      </c>
      <c r="P31" s="45" t="n">
        <v>46293</v>
      </c>
      <c r="Q31" s="1" t="n"/>
      <c r="R31" s="1" t="inlineStr">
        <is>
          <t>Vigente</t>
        </is>
      </c>
      <c r="S31" s="1" t="n"/>
      <c r="T31" s="1" t="n"/>
      <c r="U31" s="1" t="n"/>
      <c r="V31" s="1" t="n"/>
      <c r="W31" s="1" t="n"/>
      <c r="X31" s="1" t="n"/>
      <c r="Y31" s="1" t="n"/>
      <c r="Z31" s="1" t="n"/>
      <c r="AA31" s="1" t="n"/>
      <c r="AB31" s="1" t="n"/>
      <c r="AC31" s="1" t="n"/>
      <c r="AD31" s="1" t="n"/>
      <c r="AE31" s="1" t="n"/>
      <c r="AF31" s="1" t="n"/>
      <c r="AG31" s="1" t="n"/>
    </row>
    <row r="32" ht="22.5" customHeight="1">
      <c r="A32" s="18" t="inlineStr">
        <is>
          <t>F002</t>
        </is>
      </c>
      <c r="B32" s="38" t="n">
        <v>46293</v>
      </c>
      <c r="C32" s="18" t="inlineStr">
        <is>
          <t>Upper</t>
        </is>
      </c>
      <c r="D32" s="18" t="inlineStr">
        <is>
          <t>Elevação lateral</t>
        </is>
      </c>
      <c r="E32" s="18" t="inlineStr">
        <is>
          <t>Ombros</t>
        </is>
      </c>
      <c r="F32" s="18" t="n">
        <v>2</v>
      </c>
      <c r="G32" s="18" t="n">
        <v>2</v>
      </c>
      <c r="H32" s="18" t="n">
        <v>6</v>
      </c>
      <c r="I32" s="18" t="n">
        <v>10</v>
      </c>
      <c r="J32" s="18" t="n">
        <v>1</v>
      </c>
      <c r="K32" s="18" t="n">
        <v>1</v>
      </c>
      <c r="L32" s="18" t="n">
        <v>120</v>
      </c>
      <c r="M32" s="18" t="n"/>
      <c r="N32" s="18" t="inlineStr">
        <is>
          <t>Confirmado por Luan</t>
        </is>
      </c>
      <c r="O32" s="18" t="inlineStr">
        <is>
          <t>1 aquecimento + 1 feeder de 6 reps longe da falha + 2 work sets de 6–10 reps, 0–1 RIR.</t>
        </is>
      </c>
      <c r="P32" s="45" t="n">
        <v>46293</v>
      </c>
      <c r="Q32" s="1" t="n"/>
      <c r="R32" s="1" t="inlineStr">
        <is>
          <t>Vigente</t>
        </is>
      </c>
      <c r="S32" s="1" t="n"/>
      <c r="T32" s="1" t="n"/>
      <c r="U32" s="1" t="n"/>
      <c r="V32" s="1" t="n"/>
      <c r="W32" s="1" t="n"/>
      <c r="X32" s="1" t="n"/>
      <c r="Y32" s="1" t="n"/>
      <c r="Z32" s="1" t="n"/>
      <c r="AA32" s="1" t="n"/>
      <c r="AB32" s="1" t="n"/>
      <c r="AC32" s="1" t="n"/>
      <c r="AD32" s="1" t="n"/>
      <c r="AE32" s="1" t="n"/>
      <c r="AF32" s="1" t="n"/>
      <c r="AG32" s="1" t="n"/>
    </row>
    <row r="33" ht="22.5" customHeight="1">
      <c r="A33" s="18" t="inlineStr">
        <is>
          <t>F002</t>
        </is>
      </c>
      <c r="B33" s="38" t="n">
        <v>46293</v>
      </c>
      <c r="C33" s="18" t="inlineStr">
        <is>
          <t>Upper</t>
        </is>
      </c>
      <c r="D33" s="18" t="inlineStr">
        <is>
          <t>Crucifixo inverso</t>
        </is>
      </c>
      <c r="E33" s="18" t="inlineStr">
        <is>
          <t>Ombros</t>
        </is>
      </c>
      <c r="F33" s="18" t="n">
        <v>2</v>
      </c>
      <c r="G33" s="18" t="n">
        <v>2</v>
      </c>
      <c r="H33" s="18" t="n">
        <v>6</v>
      </c>
      <c r="I33" s="18" t="n">
        <v>10</v>
      </c>
      <c r="J33" s="18" t="n">
        <v>1</v>
      </c>
      <c r="K33" s="18" t="n">
        <v>1</v>
      </c>
      <c r="L33" s="18" t="n">
        <v>120</v>
      </c>
      <c r="M33" s="18" t="inlineStr">
        <is>
          <t>Peck deck reverso</t>
        </is>
      </c>
      <c r="N33" s="18" t="inlineStr">
        <is>
          <t>Confirmado por Luan</t>
        </is>
      </c>
      <c r="O33" s="18" t="inlineStr">
        <is>
          <t>1 aquecimento + 1 feeder de 6 reps longe da falha + 2 work sets de 6–10 reps, 0–1 RIR.</t>
        </is>
      </c>
      <c r="P33" s="45" t="n">
        <v>46293</v>
      </c>
      <c r="Q33" s="1" t="n"/>
      <c r="R33" s="1" t="inlineStr">
        <is>
          <t>Vigente</t>
        </is>
      </c>
      <c r="S33" s="1" t="n"/>
      <c r="T33" s="1" t="n"/>
      <c r="U33" s="1" t="n"/>
      <c r="V33" s="1" t="n"/>
      <c r="W33" s="1" t="n"/>
      <c r="X33" s="1" t="n"/>
      <c r="Y33" s="1" t="n"/>
      <c r="Z33" s="1" t="n"/>
      <c r="AA33" s="1" t="n"/>
      <c r="AB33" s="1" t="n"/>
      <c r="AC33" s="1" t="n"/>
      <c r="AD33" s="1" t="n"/>
      <c r="AE33" s="1" t="n"/>
      <c r="AF33" s="1" t="n"/>
      <c r="AG33" s="1" t="n"/>
    </row>
    <row r="34" ht="22.5" customHeight="1">
      <c r="A34" s="18" t="inlineStr">
        <is>
          <t>F002</t>
        </is>
      </c>
      <c r="B34" s="38" t="n">
        <v>46293</v>
      </c>
      <c r="C34" s="18" t="inlineStr">
        <is>
          <t>Upper</t>
        </is>
      </c>
      <c r="D34" s="18" t="inlineStr">
        <is>
          <t>Rosca Scott</t>
        </is>
      </c>
      <c r="E34" s="18" t="inlineStr">
        <is>
          <t>Bíceps</t>
        </is>
      </c>
      <c r="F34" s="18" t="n">
        <v>2</v>
      </c>
      <c r="G34" s="18" t="n">
        <v>2</v>
      </c>
      <c r="H34" s="18" t="n">
        <v>6</v>
      </c>
      <c r="I34" s="18" t="n">
        <v>10</v>
      </c>
      <c r="J34" s="18" t="n">
        <v>1</v>
      </c>
      <c r="K34" s="18" t="n">
        <v>1</v>
      </c>
      <c r="L34" s="18" t="n">
        <v>120</v>
      </c>
      <c r="M34" s="18" t="n"/>
      <c r="N34" s="18" t="inlineStr">
        <is>
          <t>Confirmado por Luan</t>
        </is>
      </c>
      <c r="O34" s="18" t="inlineStr">
        <is>
          <t>1 aquecimento + 1 feeder de 6 reps longe da falha + 2 work sets de 6–10 reps, 0–1 RIR.</t>
        </is>
      </c>
      <c r="P34" s="45" t="n">
        <v>46293</v>
      </c>
      <c r="Q34" s="1" t="n"/>
      <c r="R34" s="1" t="inlineStr">
        <is>
          <t>Vigente</t>
        </is>
      </c>
      <c r="S34" s="1" t="n"/>
      <c r="T34" s="1" t="n"/>
      <c r="U34" s="1" t="n"/>
      <c r="V34" s="1" t="n"/>
      <c r="W34" s="1" t="n"/>
      <c r="X34" s="1" t="n"/>
      <c r="Y34" s="1" t="n"/>
      <c r="Z34" s="1" t="n"/>
      <c r="AA34" s="1" t="n"/>
      <c r="AB34" s="1" t="n"/>
      <c r="AC34" s="1" t="n"/>
      <c r="AD34" s="1" t="n"/>
      <c r="AE34" s="1" t="n"/>
      <c r="AF34" s="1" t="n"/>
      <c r="AG34" s="1" t="n"/>
    </row>
    <row r="35" ht="22.5" customHeight="1">
      <c r="A35" s="18" t="inlineStr">
        <is>
          <t>F002</t>
        </is>
      </c>
      <c r="B35" s="38" t="n">
        <v>46293</v>
      </c>
      <c r="C35" s="18" t="inlineStr">
        <is>
          <t>Upper</t>
        </is>
      </c>
      <c r="D35" s="18" t="inlineStr">
        <is>
          <t>Tríceps na corda</t>
        </is>
      </c>
      <c r="E35" s="18" t="inlineStr">
        <is>
          <t>Tríceps</t>
        </is>
      </c>
      <c r="F35" s="18" t="n">
        <v>2</v>
      </c>
      <c r="G35" s="18" t="n">
        <v>2</v>
      </c>
      <c r="H35" s="18" t="n">
        <v>6</v>
      </c>
      <c r="I35" s="18" t="n">
        <v>10</v>
      </c>
      <c r="J35" s="18" t="n">
        <v>1</v>
      </c>
      <c r="K35" s="18" t="n">
        <v>1</v>
      </c>
      <c r="L35" s="18" t="n">
        <v>120</v>
      </c>
      <c r="M35" s="18" t="n"/>
      <c r="N35" s="18" t="inlineStr">
        <is>
          <t>Confirmado por Luan</t>
        </is>
      </c>
      <c r="O35" s="18" t="inlineStr">
        <is>
          <t>1 aquecimento + 1 feeder de 6 reps longe da falha + 2 work sets de 6–10 reps, 0–1 RIR.</t>
        </is>
      </c>
      <c r="P35" s="45" t="n">
        <v>46293</v>
      </c>
      <c r="Q35" s="1" t="n"/>
      <c r="R35" s="1" t="inlineStr">
        <is>
          <t>Vigente</t>
        </is>
      </c>
      <c r="S35" s="1" t="n"/>
      <c r="T35" s="1" t="n"/>
      <c r="U35" s="1" t="n"/>
      <c r="V35" s="1" t="n"/>
      <c r="W35" s="1" t="n"/>
      <c r="X35" s="1" t="n"/>
      <c r="Y35" s="1" t="n"/>
      <c r="Z35" s="1" t="n"/>
      <c r="AA35" s="1" t="n"/>
      <c r="AB35" s="1" t="n"/>
      <c r="AC35" s="1" t="n"/>
      <c r="AD35" s="1" t="n"/>
      <c r="AE35" s="1" t="n"/>
      <c r="AF35" s="1" t="n"/>
      <c r="AG35" s="1" t="n"/>
    </row>
    <row r="36" ht="22.5" customHeight="1">
      <c r="A36" s="18" t="inlineStr">
        <is>
          <t>F002</t>
        </is>
      </c>
      <c r="B36" s="38" t="n">
        <v>46293</v>
      </c>
      <c r="C36" s="18" t="inlineStr">
        <is>
          <t>Lower</t>
        </is>
      </c>
      <c r="D36" s="18" t="inlineStr">
        <is>
          <t>Agachamento orientado</t>
        </is>
      </c>
      <c r="E36" s="18" t="inlineStr">
        <is>
          <t>Quadríceps</t>
        </is>
      </c>
      <c r="F36" s="18" t="n">
        <v>2</v>
      </c>
      <c r="G36" s="18" t="n">
        <v>2</v>
      </c>
      <c r="H36" s="18" t="n">
        <v>6</v>
      </c>
      <c r="I36" s="18" t="n">
        <v>10</v>
      </c>
      <c r="J36" s="18" t="n">
        <v>1</v>
      </c>
      <c r="K36" s="18" t="n">
        <v>1</v>
      </c>
      <c r="L36" s="18" t="n">
        <v>150</v>
      </c>
      <c r="M36" s="18" t="n"/>
      <c r="N36" s="18" t="inlineStr">
        <is>
          <t>Confirmado por Luan</t>
        </is>
      </c>
      <c r="O36" s="18" t="inlineStr">
        <is>
          <t>1 aquecimento + 1 feeder de 6 reps longe da falha + 2 work sets de 6–10 reps, 0–1 RIR.</t>
        </is>
      </c>
      <c r="P36" s="45" t="n">
        <v>46293</v>
      </c>
      <c r="Q36" s="1" t="n"/>
      <c r="R36" s="1" t="inlineStr">
        <is>
          <t>Vigente</t>
        </is>
      </c>
      <c r="S36" s="1" t="n"/>
      <c r="T36" s="1" t="n"/>
      <c r="U36" s="1" t="n"/>
      <c r="V36" s="1" t="n"/>
      <c r="W36" s="1" t="n"/>
      <c r="X36" s="1" t="n"/>
      <c r="Y36" s="1" t="n"/>
      <c r="Z36" s="1" t="n"/>
      <c r="AA36" s="1" t="n"/>
      <c r="AB36" s="1" t="n"/>
      <c r="AC36" s="1" t="n"/>
      <c r="AD36" s="1" t="n"/>
      <c r="AE36" s="1" t="n"/>
      <c r="AF36" s="1" t="n"/>
      <c r="AG36" s="1" t="n"/>
    </row>
    <row r="37" ht="22.5" customHeight="1">
      <c r="A37" s="18" t="inlineStr">
        <is>
          <t>F002</t>
        </is>
      </c>
      <c r="B37" s="38" t="n">
        <v>46293</v>
      </c>
      <c r="C37" s="18" t="inlineStr">
        <is>
          <t>Lower</t>
        </is>
      </c>
      <c r="D37" s="18" t="inlineStr">
        <is>
          <t>Leg press</t>
        </is>
      </c>
      <c r="E37" s="18" t="inlineStr">
        <is>
          <t>Quadríceps</t>
        </is>
      </c>
      <c r="F37" s="18" t="n">
        <v>2</v>
      </c>
      <c r="G37" s="18" t="n">
        <v>2</v>
      </c>
      <c r="H37" s="18" t="n">
        <v>6</v>
      </c>
      <c r="I37" s="18" t="n">
        <v>10</v>
      </c>
      <c r="J37" s="18" t="n">
        <v>1</v>
      </c>
      <c r="K37" s="18" t="n">
        <v>1</v>
      </c>
      <c r="L37" s="18" t="n">
        <v>150</v>
      </c>
      <c r="M37" s="18" t="n"/>
      <c r="N37" s="18" t="inlineStr">
        <is>
          <t>Confirmado por Luan</t>
        </is>
      </c>
      <c r="O37" s="18" t="inlineStr">
        <is>
          <t>1 aquecimento + 1 feeder de 6 reps longe da falha + 2 work sets de 6–10 reps, 0–1 RIR.</t>
        </is>
      </c>
      <c r="P37" s="45" t="n">
        <v>46293</v>
      </c>
      <c r="Q37" s="1" t="n"/>
      <c r="R37" s="1" t="inlineStr">
        <is>
          <t>Vigente</t>
        </is>
      </c>
      <c r="S37" s="1" t="n"/>
      <c r="T37" s="1" t="n"/>
      <c r="U37" s="1" t="n"/>
      <c r="V37" s="1" t="n"/>
      <c r="W37" s="1" t="n"/>
      <c r="X37" s="1" t="n"/>
      <c r="Y37" s="1" t="n"/>
      <c r="Z37" s="1" t="n"/>
      <c r="AA37" s="1" t="n"/>
      <c r="AB37" s="1" t="n"/>
      <c r="AC37" s="1" t="n"/>
      <c r="AD37" s="1" t="n"/>
      <c r="AE37" s="1" t="n"/>
      <c r="AF37" s="1" t="n"/>
      <c r="AG37" s="1" t="n"/>
    </row>
    <row r="38" ht="22.5" customHeight="1">
      <c r="A38" s="18" t="inlineStr">
        <is>
          <t>F002</t>
        </is>
      </c>
      <c r="B38" s="38" t="n">
        <v>46293</v>
      </c>
      <c r="C38" s="18" t="inlineStr">
        <is>
          <t>Lower</t>
        </is>
      </c>
      <c r="D38" s="18" t="inlineStr">
        <is>
          <t>Stiff orientado</t>
        </is>
      </c>
      <c r="E38" s="18" t="inlineStr">
        <is>
          <t>Posteriores</t>
        </is>
      </c>
      <c r="F38" s="18" t="n">
        <v>2</v>
      </c>
      <c r="G38" s="18" t="n">
        <v>2</v>
      </c>
      <c r="H38" s="18" t="n">
        <v>6</v>
      </c>
      <c r="I38" s="18" t="n">
        <v>10</v>
      </c>
      <c r="J38" s="18" t="n">
        <v>1</v>
      </c>
      <c r="K38" s="18" t="n">
        <v>1</v>
      </c>
      <c r="L38" s="18" t="n">
        <v>150</v>
      </c>
      <c r="M38" s="18" t="n"/>
      <c r="N38" s="18" t="inlineStr">
        <is>
          <t>Confirmado por Luan</t>
        </is>
      </c>
      <c r="O38" s="18" t="inlineStr">
        <is>
          <t>1 aquecimento + 1 feeder de 6 reps longe da falha + 2 work sets de 6–10 reps, 0–1 RIR.</t>
        </is>
      </c>
      <c r="P38" s="45" t="n">
        <v>46293</v>
      </c>
      <c r="Q38" s="1" t="n"/>
      <c r="R38" s="1" t="inlineStr">
        <is>
          <t>Vigente</t>
        </is>
      </c>
      <c r="S38" s="1" t="n"/>
      <c r="T38" s="1" t="n"/>
      <c r="U38" s="1" t="n"/>
      <c r="V38" s="1" t="n"/>
      <c r="W38" s="1" t="n"/>
      <c r="X38" s="1" t="n"/>
      <c r="Y38" s="1" t="n"/>
      <c r="Z38" s="1" t="n"/>
      <c r="AA38" s="1" t="n"/>
      <c r="AB38" s="1" t="n"/>
      <c r="AC38" s="1" t="n"/>
      <c r="AD38" s="1" t="n"/>
      <c r="AE38" s="1" t="n"/>
      <c r="AF38" s="1" t="n"/>
      <c r="AG38" s="1" t="n"/>
    </row>
    <row r="39" ht="22.5" customHeight="1">
      <c r="A39" s="18" t="inlineStr">
        <is>
          <t>F002</t>
        </is>
      </c>
      <c r="B39" s="38" t="n">
        <v>46293</v>
      </c>
      <c r="C39" s="18" t="inlineStr">
        <is>
          <t>Lower</t>
        </is>
      </c>
      <c r="D39" s="18" t="inlineStr">
        <is>
          <t>Mesa flexora</t>
        </is>
      </c>
      <c r="E39" s="18" t="inlineStr">
        <is>
          <t>Posteriores</t>
        </is>
      </c>
      <c r="F39" s="18" t="n">
        <v>2</v>
      </c>
      <c r="G39" s="18" t="n">
        <v>2</v>
      </c>
      <c r="H39" s="18" t="n">
        <v>6</v>
      </c>
      <c r="I39" s="18" t="n">
        <v>10</v>
      </c>
      <c r="J39" s="18" t="n">
        <v>1</v>
      </c>
      <c r="K39" s="18" t="n">
        <v>1</v>
      </c>
      <c r="L39" s="18" t="n">
        <v>150</v>
      </c>
      <c r="M39" s="18" t="n"/>
      <c r="N39" s="18" t="inlineStr">
        <is>
          <t>Confirmado por Luan</t>
        </is>
      </c>
      <c r="O39" s="18" t="inlineStr">
        <is>
          <t>1 aquecimento + 1 feeder de 6 reps longe da falha + 2 work sets de 6–10 reps, 0–1 RIR.</t>
        </is>
      </c>
      <c r="P39" s="45" t="n">
        <v>46293</v>
      </c>
      <c r="Q39" s="1" t="n"/>
      <c r="R39" s="1" t="inlineStr">
        <is>
          <t>Vigente</t>
        </is>
      </c>
      <c r="S39" s="1" t="n"/>
      <c r="T39" s="1" t="n"/>
      <c r="U39" s="1" t="n"/>
      <c r="V39" s="1" t="n"/>
      <c r="W39" s="1" t="n"/>
      <c r="X39" s="1" t="n"/>
      <c r="Y39" s="1" t="n"/>
      <c r="Z39" s="1" t="n"/>
      <c r="AA39" s="1" t="n"/>
      <c r="AB39" s="1" t="n"/>
      <c r="AC39" s="1" t="n"/>
      <c r="AD39" s="1" t="n"/>
      <c r="AE39" s="1" t="n"/>
      <c r="AF39" s="1" t="n"/>
      <c r="AG39" s="1" t="n"/>
    </row>
    <row r="40" ht="22.5" customHeight="1">
      <c r="A40" s="18" t="inlineStr">
        <is>
          <t>F002</t>
        </is>
      </c>
      <c r="B40" s="38" t="n">
        <v>46293</v>
      </c>
      <c r="C40" s="18" t="inlineStr">
        <is>
          <t>Lower</t>
        </is>
      </c>
      <c r="D40" s="18" t="inlineStr">
        <is>
          <t>Panturrilha em pé</t>
        </is>
      </c>
      <c r="E40" s="18" t="inlineStr">
        <is>
          <t>Panturrilhas</t>
        </is>
      </c>
      <c r="F40" s="18" t="n">
        <v>2</v>
      </c>
      <c r="G40" s="18" t="n">
        <v>2</v>
      </c>
      <c r="H40" s="18" t="n">
        <v>6</v>
      </c>
      <c r="I40" s="18" t="n">
        <v>10</v>
      </c>
      <c r="J40" s="18" t="n">
        <v>1</v>
      </c>
      <c r="K40" s="18" t="n">
        <v>1</v>
      </c>
      <c r="L40" s="18" t="n">
        <v>120</v>
      </c>
      <c r="M40" s="18" t="inlineStr">
        <is>
          <t>Panturrilha sentado</t>
        </is>
      </c>
      <c r="N40" s="18" t="inlineStr">
        <is>
          <t>Confirmado por Luan</t>
        </is>
      </c>
      <c r="O40" s="18" t="inlineStr">
        <is>
          <t>1 aquecimento + 1 feeder de 6 reps longe da falha + 2 work sets de 6–10 reps, 0–1 RIR.</t>
        </is>
      </c>
      <c r="P40" s="45" t="n">
        <v>46293</v>
      </c>
      <c r="Q40" s="1" t="n"/>
      <c r="R40" s="1" t="inlineStr">
        <is>
          <t>Vigente</t>
        </is>
      </c>
      <c r="S40" s="1" t="n"/>
      <c r="T40" s="1" t="n"/>
      <c r="U40" s="1" t="n"/>
      <c r="V40" s="1" t="n"/>
      <c r="W40" s="1" t="n"/>
      <c r="X40" s="1" t="n"/>
      <c r="Y40" s="1" t="n"/>
      <c r="Z40" s="1" t="n"/>
      <c r="AA40" s="1" t="n"/>
      <c r="AB40" s="1" t="n"/>
      <c r="AC40" s="1" t="n"/>
      <c r="AD40" s="1" t="n"/>
      <c r="AE40" s="1" t="n"/>
      <c r="AF40" s="1" t="n"/>
      <c r="AG40" s="1" t="n"/>
    </row>
    <row r="41" ht="22.5" customHeight="1">
      <c r="A41" s="18" t="inlineStr">
        <is>
          <t>F002</t>
        </is>
      </c>
      <c r="B41" s="38" t="n">
        <v>46293</v>
      </c>
      <c r="C41" s="18" t="inlineStr">
        <is>
          <t>Lower</t>
        </is>
      </c>
      <c r="D41" s="18" t="inlineStr">
        <is>
          <t>Abdominal na polia</t>
        </is>
      </c>
      <c r="E41" s="18" t="inlineStr">
        <is>
          <t>Abdômen</t>
        </is>
      </c>
      <c r="F41" s="18" t="n">
        <v>2</v>
      </c>
      <c r="G41" s="18" t="n">
        <v>2</v>
      </c>
      <c r="H41" s="18" t="n">
        <v>6</v>
      </c>
      <c r="I41" s="18" t="n">
        <v>10</v>
      </c>
      <c r="J41" s="18" t="n">
        <v>1</v>
      </c>
      <c r="K41" s="18" t="n">
        <v>1</v>
      </c>
      <c r="L41" s="18" t="n">
        <v>120</v>
      </c>
      <c r="M41" s="18" t="n"/>
      <c r="N41" s="18" t="inlineStr">
        <is>
          <t>Confirmado por Luan</t>
        </is>
      </c>
      <c r="O41" s="18" t="inlineStr">
        <is>
          <t>1 aquecimento + 1 feeder de 6 reps longe da falha + 2 work sets de 6–10 reps, 0–1 RIR.</t>
        </is>
      </c>
      <c r="P41" s="45" t="n">
        <v>46293</v>
      </c>
      <c r="Q41" s="1" t="n"/>
      <c r="R41" s="1" t="inlineStr">
        <is>
          <t>Vigente</t>
        </is>
      </c>
      <c r="S41" s="1" t="n"/>
      <c r="T41" s="1" t="n"/>
      <c r="U41" s="1" t="n"/>
      <c r="V41" s="1" t="n"/>
      <c r="W41" s="1" t="n"/>
      <c r="X41" s="1" t="n"/>
      <c r="Y41" s="1" t="n"/>
      <c r="Z41" s="1" t="n"/>
      <c r="AA41" s="1" t="n"/>
      <c r="AB41" s="1" t="n"/>
      <c r="AC41" s="1" t="n"/>
      <c r="AD41" s="1" t="n"/>
      <c r="AE41" s="1" t="n"/>
      <c r="AF41" s="1" t="n"/>
      <c r="AG41" s="1" t="n"/>
    </row>
    <row r="42" ht="22.5" customHeight="1">
      <c r="A42" s="18" t="inlineStr">
        <is>
          <t>F002</t>
        </is>
      </c>
      <c r="B42" s="38" t="n">
        <v>46293</v>
      </c>
      <c r="C42" s="18" t="inlineStr">
        <is>
          <t>Full Body</t>
        </is>
      </c>
      <c r="D42" s="18" t="inlineStr">
        <is>
          <t>Leg press</t>
        </is>
      </c>
      <c r="E42" s="18" t="inlineStr">
        <is>
          <t>Quadríceps</t>
        </is>
      </c>
      <c r="F42" s="18" t="n">
        <v>2</v>
      </c>
      <c r="G42" s="18" t="n">
        <v>2</v>
      </c>
      <c r="H42" s="18" t="n">
        <v>6</v>
      </c>
      <c r="I42" s="18" t="n">
        <v>10</v>
      </c>
      <c r="J42" s="18" t="n">
        <v>1</v>
      </c>
      <c r="K42" s="18" t="n">
        <v>1</v>
      </c>
      <c r="L42" s="18" t="n">
        <v>150</v>
      </c>
      <c r="M42" s="18" t="n"/>
      <c r="N42" s="18" t="inlineStr">
        <is>
          <t>Confirmado por Luan</t>
        </is>
      </c>
      <c r="O42" s="18" t="inlineStr">
        <is>
          <t>1 aquecimento + 1 feeder de 6 reps longe da falha + 2 work sets de 6–10 reps, 0–1 RIR.</t>
        </is>
      </c>
      <c r="P42" s="45" t="n">
        <v>46293</v>
      </c>
      <c r="Q42" s="1" t="n"/>
      <c r="R42" s="1" t="inlineStr">
        <is>
          <t>Vigente</t>
        </is>
      </c>
      <c r="S42" s="1" t="n"/>
      <c r="T42" s="1" t="n"/>
      <c r="U42" s="1" t="n"/>
      <c r="V42" s="1" t="n"/>
      <c r="W42" s="1" t="n"/>
      <c r="X42" s="1" t="n"/>
      <c r="Y42" s="1" t="n"/>
      <c r="Z42" s="1" t="n"/>
      <c r="AA42" s="1" t="n"/>
      <c r="AB42" s="1" t="n"/>
      <c r="AC42" s="1" t="n"/>
      <c r="AD42" s="1" t="n"/>
      <c r="AE42" s="1" t="n"/>
      <c r="AF42" s="1" t="n"/>
      <c r="AG42" s="1" t="n"/>
    </row>
    <row r="43" ht="22.5" customHeight="1">
      <c r="A43" s="18" t="inlineStr">
        <is>
          <t>F002</t>
        </is>
      </c>
      <c r="B43" s="38" t="n">
        <v>46293</v>
      </c>
      <c r="C43" s="18" t="inlineStr">
        <is>
          <t>Full Body</t>
        </is>
      </c>
      <c r="D43" s="18" t="inlineStr">
        <is>
          <t>Supino inclinado com halteres</t>
        </is>
      </c>
      <c r="E43" s="18" t="inlineStr">
        <is>
          <t>Peito</t>
        </is>
      </c>
      <c r="F43" s="18" t="n">
        <v>2</v>
      </c>
      <c r="G43" s="18" t="n">
        <v>2</v>
      </c>
      <c r="H43" s="18" t="n">
        <v>6</v>
      </c>
      <c r="I43" s="18" t="n">
        <v>10</v>
      </c>
      <c r="J43" s="18" t="n">
        <v>1</v>
      </c>
      <c r="K43" s="18" t="n">
        <v>1</v>
      </c>
      <c r="L43" s="18" t="n">
        <v>150</v>
      </c>
      <c r="M43" s="18" t="n"/>
      <c r="N43" s="18" t="inlineStr">
        <is>
          <t>Confirmado por Luan</t>
        </is>
      </c>
      <c r="O43" s="18" t="inlineStr">
        <is>
          <t>1 aquecimento + 1 feeder de 6 reps longe da falha + 2 work sets de 6–10 reps, 0–1 RIR.</t>
        </is>
      </c>
      <c r="P43" s="45" t="n">
        <v>46293</v>
      </c>
      <c r="Q43" s="1" t="n"/>
      <c r="R43" s="1" t="inlineStr">
        <is>
          <t>Vigente</t>
        </is>
      </c>
      <c r="S43" s="1" t="n"/>
      <c r="T43" s="1" t="n"/>
      <c r="U43" s="1" t="n"/>
      <c r="V43" s="1" t="n"/>
      <c r="W43" s="1" t="n"/>
      <c r="X43" s="1" t="n"/>
      <c r="Y43" s="1" t="n"/>
      <c r="Z43" s="1" t="n"/>
      <c r="AA43" s="1" t="n"/>
      <c r="AB43" s="1" t="n"/>
      <c r="AC43" s="1" t="n"/>
      <c r="AD43" s="1" t="n"/>
      <c r="AE43" s="1" t="n"/>
      <c r="AF43" s="1" t="n"/>
      <c r="AG43" s="1" t="n"/>
    </row>
    <row r="44" ht="22.5" customHeight="1">
      <c r="A44" s="18" t="inlineStr">
        <is>
          <t>F002</t>
        </is>
      </c>
      <c r="B44" s="38" t="n">
        <v>46293</v>
      </c>
      <c r="C44" s="18" t="inlineStr">
        <is>
          <t>Full Body</t>
        </is>
      </c>
      <c r="D44" s="18" t="inlineStr">
        <is>
          <t>Puxada aberta</t>
        </is>
      </c>
      <c r="E44" s="18" t="inlineStr">
        <is>
          <t>Costas</t>
        </is>
      </c>
      <c r="F44" s="18" t="n">
        <v>2</v>
      </c>
      <c r="G44" s="18" t="n">
        <v>2</v>
      </c>
      <c r="H44" s="18" t="n">
        <v>6</v>
      </c>
      <c r="I44" s="18" t="n">
        <v>10</v>
      </c>
      <c r="J44" s="18" t="n">
        <v>1</v>
      </c>
      <c r="K44" s="18" t="n">
        <v>1</v>
      </c>
      <c r="L44" s="18" t="n">
        <v>150</v>
      </c>
      <c r="M44" s="18" t="n"/>
      <c r="N44" s="18" t="inlineStr">
        <is>
          <t>Confirmado por Luan</t>
        </is>
      </c>
      <c r="O44" s="18" t="inlineStr">
        <is>
          <t>1 aquecimento + 1 feeder de 6 reps longe da falha + 2 work sets de 6–10 reps, 0–1 RIR.</t>
        </is>
      </c>
      <c r="P44" s="45" t="n">
        <v>46293</v>
      </c>
      <c r="Q44" s="1" t="n"/>
      <c r="R44" s="1" t="inlineStr">
        <is>
          <t>Vigente</t>
        </is>
      </c>
      <c r="S44" s="1" t="n"/>
      <c r="T44" s="1" t="n"/>
      <c r="U44" s="1" t="n"/>
      <c r="V44" s="1" t="n"/>
      <c r="W44" s="1" t="n"/>
      <c r="X44" s="1" t="n"/>
      <c r="Y44" s="1" t="n"/>
      <c r="Z44" s="1" t="n"/>
      <c r="AA44" s="1" t="n"/>
      <c r="AB44" s="1" t="n"/>
      <c r="AC44" s="1" t="n"/>
      <c r="AD44" s="1" t="n"/>
      <c r="AE44" s="1" t="n"/>
      <c r="AF44" s="1" t="n"/>
      <c r="AG44" s="1" t="n"/>
    </row>
    <row r="45" ht="22.5" customHeight="1">
      <c r="A45" s="18" t="inlineStr">
        <is>
          <t>F002</t>
        </is>
      </c>
      <c r="B45" s="38" t="n">
        <v>46293</v>
      </c>
      <c r="C45" s="18" t="inlineStr">
        <is>
          <t>Full Body</t>
        </is>
      </c>
      <c r="D45" s="18" t="inlineStr">
        <is>
          <t>Remada com apoio</t>
        </is>
      </c>
      <c r="E45" s="18" t="inlineStr">
        <is>
          <t>Costas</t>
        </is>
      </c>
      <c r="F45" s="18" t="n">
        <v>2</v>
      </c>
      <c r="G45" s="18" t="n">
        <v>2</v>
      </c>
      <c r="H45" s="18" t="n">
        <v>6</v>
      </c>
      <c r="I45" s="18" t="n">
        <v>10</v>
      </c>
      <c r="J45" s="18" t="n">
        <v>1</v>
      </c>
      <c r="K45" s="18" t="n">
        <v>1</v>
      </c>
      <c r="L45" s="18" t="n">
        <v>150</v>
      </c>
      <c r="M45" s="18" t="inlineStr">
        <is>
          <t>Máquina disponível; confirmar execução com Luan</t>
        </is>
      </c>
      <c r="N45" s="18" t="inlineStr">
        <is>
          <t>Confirmado por Luan</t>
        </is>
      </c>
      <c r="O45" s="18" t="inlineStr">
        <is>
          <t>1 aquecimento + 1 feeder de 6 reps longe da falha + 2 work sets de 6–10 reps, 0–1 RIR.</t>
        </is>
      </c>
      <c r="P45" s="45" t="n">
        <v>46293</v>
      </c>
      <c r="Q45" s="1" t="n"/>
      <c r="R45" s="1" t="inlineStr">
        <is>
          <t>Vigente</t>
        </is>
      </c>
      <c r="S45" s="1" t="n"/>
      <c r="T45" s="1" t="n"/>
      <c r="U45" s="1" t="n"/>
      <c r="V45" s="1" t="n"/>
      <c r="W45" s="1" t="n"/>
      <c r="X45" s="1" t="n"/>
      <c r="Y45" s="1" t="n"/>
      <c r="Z45" s="1" t="n"/>
      <c r="AA45" s="1" t="n"/>
      <c r="AB45" s="1" t="n"/>
      <c r="AC45" s="1" t="n"/>
      <c r="AD45" s="1" t="n"/>
      <c r="AE45" s="1" t="n"/>
      <c r="AF45" s="1" t="n"/>
      <c r="AG45" s="1" t="n"/>
    </row>
    <row r="46" ht="22.5" customHeight="1">
      <c r="A46" s="18" t="inlineStr">
        <is>
          <t>F002</t>
        </is>
      </c>
      <c r="B46" s="38" t="n">
        <v>46293</v>
      </c>
      <c r="C46" s="18" t="inlineStr">
        <is>
          <t>Full Body</t>
        </is>
      </c>
      <c r="D46" s="18" t="inlineStr">
        <is>
          <t>Elevação lateral</t>
        </is>
      </c>
      <c r="E46" s="18" t="inlineStr">
        <is>
          <t>Ombros</t>
        </is>
      </c>
      <c r="F46" s="18" t="n">
        <v>2</v>
      </c>
      <c r="G46" s="18" t="n">
        <v>2</v>
      </c>
      <c r="H46" s="18" t="n">
        <v>6</v>
      </c>
      <c r="I46" s="18" t="n">
        <v>10</v>
      </c>
      <c r="J46" s="18" t="n">
        <v>1</v>
      </c>
      <c r="K46" s="18" t="n">
        <v>1</v>
      </c>
      <c r="L46" s="18" t="n">
        <v>120</v>
      </c>
      <c r="M46" s="18" t="n"/>
      <c r="N46" s="18" t="inlineStr">
        <is>
          <t>Confirmado por Luan</t>
        </is>
      </c>
      <c r="O46" s="18" t="inlineStr">
        <is>
          <t>1 aquecimento + 1 feeder de 6 reps longe da falha + 2 work sets de 6–10 reps, 0–1 RIR.</t>
        </is>
      </c>
      <c r="P46" s="45" t="n">
        <v>46293</v>
      </c>
      <c r="Q46" s="1" t="n"/>
      <c r="R46" s="1" t="inlineStr">
        <is>
          <t>Vigente</t>
        </is>
      </c>
      <c r="S46" s="1" t="n"/>
      <c r="T46" s="1" t="n"/>
      <c r="U46" s="1" t="n"/>
      <c r="V46" s="1" t="n"/>
      <c r="W46" s="1" t="n"/>
      <c r="X46" s="1" t="n"/>
      <c r="Y46" s="1" t="n"/>
      <c r="Z46" s="1" t="n"/>
      <c r="AA46" s="1" t="n"/>
      <c r="AB46" s="1" t="n"/>
      <c r="AC46" s="1" t="n"/>
      <c r="AD46" s="1" t="n"/>
      <c r="AE46" s="1" t="n"/>
      <c r="AF46" s="1" t="n"/>
      <c r="AG46" s="1" t="n"/>
    </row>
    <row r="47" ht="22.5" customHeight="1">
      <c r="A47" s="18" t="inlineStr">
        <is>
          <t>F002</t>
        </is>
      </c>
      <c r="B47" s="38" t="n">
        <v>46293</v>
      </c>
      <c r="C47" s="18" t="inlineStr">
        <is>
          <t>Full Body</t>
        </is>
      </c>
      <c r="D47" s="18" t="inlineStr">
        <is>
          <t>Crucifixo inverso</t>
        </is>
      </c>
      <c r="E47" s="18" t="inlineStr">
        <is>
          <t>Ombros</t>
        </is>
      </c>
      <c r="F47" s="18" t="n">
        <v>2</v>
      </c>
      <c r="G47" s="18" t="n">
        <v>2</v>
      </c>
      <c r="H47" s="18" t="n">
        <v>6</v>
      </c>
      <c r="I47" s="18" t="n">
        <v>10</v>
      </c>
      <c r="J47" s="18" t="n">
        <v>1</v>
      </c>
      <c r="K47" s="18" t="n">
        <v>1</v>
      </c>
      <c r="L47" s="18" t="n">
        <v>120</v>
      </c>
      <c r="M47" s="18" t="inlineStr">
        <is>
          <t>Peck deck reverso</t>
        </is>
      </c>
      <c r="N47" s="18" t="inlineStr">
        <is>
          <t>Confirmado por Luan</t>
        </is>
      </c>
      <c r="O47" s="18" t="inlineStr">
        <is>
          <t>1 aquecimento + 1 feeder de 6 reps longe da falha + 2 work sets de 6–10 reps, 0–1 RIR.</t>
        </is>
      </c>
      <c r="P47" s="45" t="n">
        <v>46293</v>
      </c>
      <c r="Q47" s="1" t="n"/>
      <c r="R47" s="1" t="inlineStr">
        <is>
          <t>Vigente</t>
        </is>
      </c>
      <c r="S47" s="1" t="n"/>
      <c r="T47" s="1" t="n"/>
      <c r="U47" s="1" t="n"/>
      <c r="V47" s="1" t="n"/>
      <c r="W47" s="1" t="n"/>
      <c r="X47" s="1" t="n"/>
      <c r="Y47" s="1" t="n"/>
      <c r="Z47" s="1" t="n"/>
      <c r="AA47" s="1" t="n"/>
      <c r="AB47" s="1" t="n"/>
      <c r="AC47" s="1" t="n"/>
      <c r="AD47" s="1" t="n"/>
      <c r="AE47" s="1" t="n"/>
      <c r="AF47" s="1" t="n"/>
      <c r="AG47" s="1" t="n"/>
    </row>
    <row r="48" ht="22.5" customHeight="1">
      <c r="A48" s="18" t="inlineStr">
        <is>
          <t>F002</t>
        </is>
      </c>
      <c r="B48" s="38" t="n">
        <v>46293</v>
      </c>
      <c r="C48" s="18" t="inlineStr">
        <is>
          <t>Full Body</t>
        </is>
      </c>
      <c r="D48" s="18" t="inlineStr">
        <is>
          <t>Rosca alternada</t>
        </is>
      </c>
      <c r="E48" s="18" t="inlineStr">
        <is>
          <t>Bíceps</t>
        </is>
      </c>
      <c r="F48" s="18" t="n">
        <v>2</v>
      </c>
      <c r="G48" s="18" t="n">
        <v>2</v>
      </c>
      <c r="H48" s="18" t="n">
        <v>6</v>
      </c>
      <c r="I48" s="18" t="n">
        <v>10</v>
      </c>
      <c r="J48" s="18" t="n">
        <v>1</v>
      </c>
      <c r="K48" s="18" t="n">
        <v>1</v>
      </c>
      <c r="L48" s="18" t="n">
        <v>120</v>
      </c>
      <c r="M48" s="18" t="n"/>
      <c r="N48" s="18" t="inlineStr">
        <is>
          <t>Confirmado por Luan</t>
        </is>
      </c>
      <c r="O48" s="18" t="inlineStr">
        <is>
          <t>1 aquecimento + 1 feeder de 6 reps longe da falha + 2 work sets de 6–10 reps, 0–1 RIR.</t>
        </is>
      </c>
      <c r="P48" s="45" t="n">
        <v>46293</v>
      </c>
      <c r="Q48" s="1" t="n"/>
      <c r="R48" s="1" t="inlineStr">
        <is>
          <t>Vigente</t>
        </is>
      </c>
      <c r="S48" s="1" t="n"/>
      <c r="T48" s="1" t="n"/>
      <c r="U48" s="1" t="n"/>
      <c r="V48" s="1" t="n"/>
      <c r="W48" s="1" t="n"/>
      <c r="X48" s="1" t="n"/>
      <c r="Y48" s="1" t="n"/>
      <c r="Z48" s="1" t="n"/>
      <c r="AA48" s="1" t="n"/>
      <c r="AB48" s="1" t="n"/>
      <c r="AC48" s="1" t="n"/>
      <c r="AD48" s="1" t="n"/>
      <c r="AE48" s="1" t="n"/>
      <c r="AF48" s="1" t="n"/>
      <c r="AG48" s="1" t="n"/>
    </row>
    <row r="49" ht="22.5" customHeight="1">
      <c r="A49" s="18" t="inlineStr">
        <is>
          <t>F002</t>
        </is>
      </c>
      <c r="B49" s="38" t="n">
        <v>46293</v>
      </c>
      <c r="C49" s="18" t="inlineStr">
        <is>
          <t>Full Body</t>
        </is>
      </c>
      <c r="D49" s="18" t="inlineStr">
        <is>
          <t>Tríceps na corda</t>
        </is>
      </c>
      <c r="E49" s="18" t="inlineStr">
        <is>
          <t>Tríceps</t>
        </is>
      </c>
      <c r="F49" s="18" t="n">
        <v>2</v>
      </c>
      <c r="G49" s="18" t="n">
        <v>2</v>
      </c>
      <c r="H49" s="18" t="n">
        <v>6</v>
      </c>
      <c r="I49" s="18" t="n">
        <v>10</v>
      </c>
      <c r="J49" s="18" t="n">
        <v>1</v>
      </c>
      <c r="K49" s="18" t="n">
        <v>1</v>
      </c>
      <c r="L49" s="18" t="n">
        <v>120</v>
      </c>
      <c r="M49" s="18" t="n"/>
      <c r="N49" s="18" t="inlineStr">
        <is>
          <t>Confirmado por Luan</t>
        </is>
      </c>
      <c r="O49" s="18" t="inlineStr">
        <is>
          <t>1 aquecimento + 1 feeder de 6 reps longe da falha + 2 work sets de 6–10 reps, 0–1 RIR.</t>
        </is>
      </c>
      <c r="P49" s="45" t="n">
        <v>46293</v>
      </c>
      <c r="Q49" s="1" t="n"/>
      <c r="R49" s="1" t="inlineStr">
        <is>
          <t>Vigente</t>
        </is>
      </c>
      <c r="S49" s="1" t="n"/>
      <c r="T49" s="1" t="n"/>
      <c r="U49" s="1" t="n"/>
      <c r="V49" s="1" t="n"/>
      <c r="W49" s="1" t="n"/>
      <c r="X49" s="1" t="n"/>
      <c r="Y49" s="1" t="n"/>
      <c r="Z49" s="1" t="n"/>
      <c r="AA49" s="1" t="n"/>
      <c r="AB49" s="1" t="n"/>
      <c r="AC49" s="1" t="n"/>
      <c r="AD49" s="1" t="n"/>
      <c r="AE49" s="1" t="n"/>
      <c r="AF49" s="1" t="n"/>
      <c r="AG49" s="1" t="n"/>
    </row>
    <row r="50" ht="22.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row>
    <row r="51" ht="22.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row>
    <row r="52" ht="22.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row>
    <row r="53" ht="22.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row>
    <row r="54" ht="22.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row>
    <row r="55" ht="22.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row>
    <row r="56" ht="22.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row>
    <row r="57" ht="22.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row>
    <row r="58" ht="22.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row>
    <row r="59" ht="22.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row>
    <row r="60" ht="22.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row>
    <row r="61" ht="22.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row>
    <row r="62" ht="22.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row>
    <row r="63" ht="22.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row>
    <row r="64" ht="22.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row>
    <row r="65" ht="22.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row>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autoFilter ref="A5:O4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B65"/>
  <sheetViews>
    <sheetView showGridLines="0" workbookViewId="0">
      <pane ySplit="5" topLeftCell="A6" activePane="bottomLeft" state="frozen"/>
      <selection pane="bottomLeft" activeCell="A1" sqref="A1"/>
    </sheetView>
  </sheetViews>
  <sheetFormatPr baseColWidth="8" defaultRowHeight="15"/>
  <cols>
    <col width="33.97" customWidth="1" min="1" max="1"/>
    <col width="15.03" customWidth="1" min="2" max="2"/>
    <col width="14.02" customWidth="1" min="3" max="3"/>
    <col width="16.04" customWidth="1" min="4" max="4"/>
    <col width="18.06" customWidth="1" min="5" max="5"/>
    <col width="16.04" customWidth="1" min="6" max="6"/>
    <col width="14.02" customWidth="1" min="7" max="7"/>
    <col width="75.02" customWidth="1" min="8" max="8"/>
    <col width="8.59" customWidth="1" min="9" max="9"/>
    <col width="8.59" customWidth="1" min="10" max="10"/>
    <col width="8.59" customWidth="1" min="11" max="11"/>
    <col width="8.59" customWidth="1" min="12" max="12"/>
    <col width="8.59" customWidth="1" min="13" max="13"/>
    <col width="8.59" customWidth="1" min="14" max="14"/>
    <col width="8.59"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 width="8.59" customWidth="1" min="27" max="27"/>
    <col width="8.59" customWidth="1" min="28" max="28"/>
  </cols>
  <sheetData>
    <row r="1" ht="22.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row>
    <row r="2" ht="22.5" customHeight="1">
      <c r="A2" s="2" t="inlineStr">
        <is>
          <t>Refeições prontas para lançar</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row>
    <row r="3" ht="22.5" customHeight="1">
      <c r="A3" s="1" t="inlineStr">
        <is>
          <t>Use Criar favorita da refeição depois de registrar uma refeição.</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row>
    <row r="4" ht="22.5" customHeight="1">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row>
    <row r="5" ht="39.75" customHeight="1">
      <c r="A5" s="37" t="inlineStr">
        <is>
          <t>Favorita</t>
        </is>
      </c>
      <c r="B5" s="37" t="inlineStr">
        <is>
          <t>Versão</t>
        </is>
      </c>
      <c r="C5" s="37" t="inlineStr">
        <is>
          <t>kcal</t>
        </is>
      </c>
      <c r="D5" s="37" t="inlineStr">
        <is>
          <t>Proteína g</t>
        </is>
      </c>
      <c r="E5" s="37" t="inlineStr">
        <is>
          <t>Carboidrato g</t>
        </is>
      </c>
      <c r="F5" s="37" t="inlineStr">
        <is>
          <t>Gordura g</t>
        </is>
      </c>
      <c r="G5" s="37" t="inlineStr">
        <is>
          <t>Fibra g</t>
        </is>
      </c>
      <c r="H5" s="37" t="inlineStr">
        <is>
          <t>Observação</t>
        </is>
      </c>
      <c r="I5" s="1" t="n"/>
      <c r="J5" s="1" t="n"/>
      <c r="K5" s="1" t="n"/>
      <c r="L5" s="1" t="n"/>
      <c r="M5" s="1" t="n"/>
      <c r="N5" s="1" t="n"/>
      <c r="O5" s="1" t="n"/>
      <c r="P5" s="1" t="n"/>
      <c r="Q5" s="1" t="n"/>
      <c r="R5" s="1" t="n"/>
      <c r="S5" s="1" t="n"/>
      <c r="T5" s="1" t="n"/>
      <c r="U5" s="1" t="n"/>
      <c r="V5" s="1" t="n"/>
      <c r="W5" s="1" t="n"/>
      <c r="X5" s="1" t="n"/>
      <c r="Y5" s="1" t="n"/>
      <c r="Z5" s="1" t="n"/>
      <c r="AA5" s="1" t="n"/>
      <c r="AB5" s="1" t="n"/>
    </row>
    <row r="6" ht="22.5" customHeight="1">
      <c r="A6" s="18" t="n"/>
      <c r="B6" s="18" t="n"/>
      <c r="C6" s="18" t="n"/>
      <c r="D6" s="18" t="n"/>
      <c r="E6" s="18" t="n"/>
      <c r="F6" s="18" t="n"/>
      <c r="G6" s="18" t="n"/>
      <c r="H6" s="18" t="n"/>
      <c r="I6" s="1" t="n"/>
      <c r="J6" s="1" t="n"/>
      <c r="K6" s="1" t="n"/>
      <c r="L6" s="1" t="n"/>
      <c r="M6" s="1" t="n"/>
      <c r="N6" s="1" t="n"/>
      <c r="O6" s="1" t="n"/>
      <c r="P6" s="1" t="n"/>
      <c r="Q6" s="1" t="n"/>
      <c r="R6" s="1" t="n"/>
      <c r="S6" s="1" t="n"/>
      <c r="T6" s="1" t="n"/>
      <c r="U6" s="1" t="n"/>
      <c r="V6" s="1" t="n"/>
      <c r="W6" s="1" t="n"/>
      <c r="X6" s="1" t="n"/>
      <c r="Y6" s="1" t="n"/>
      <c r="Z6" s="1" t="n"/>
      <c r="AA6" s="1" t="n"/>
      <c r="AB6" s="1" t="n"/>
    </row>
    <row r="7" ht="22.5" customHeight="1">
      <c r="A7" s="18" t="n"/>
      <c r="B7" s="18" t="n"/>
      <c r="C7" s="18" t="n"/>
      <c r="D7" s="18" t="n"/>
      <c r="E7" s="18" t="n"/>
      <c r="F7" s="18" t="n"/>
      <c r="G7" s="18" t="n"/>
      <c r="H7" s="18" t="n"/>
      <c r="I7" s="1" t="n"/>
      <c r="J7" s="1" t="n"/>
      <c r="K7" s="1" t="n"/>
      <c r="L7" s="1" t="n"/>
      <c r="M7" s="1" t="n"/>
      <c r="N7" s="1" t="n"/>
      <c r="O7" s="1" t="n"/>
      <c r="P7" s="1" t="n"/>
      <c r="Q7" s="1" t="n"/>
      <c r="R7" s="1" t="n"/>
      <c r="S7" s="1" t="n"/>
      <c r="T7" s="1" t="n"/>
      <c r="U7" s="1" t="n"/>
      <c r="V7" s="1" t="n"/>
      <c r="W7" s="1" t="n"/>
      <c r="X7" s="1" t="n"/>
      <c r="Y7" s="1" t="n"/>
      <c r="Z7" s="1" t="n"/>
      <c r="AA7" s="1" t="n"/>
      <c r="AB7" s="1" t="n"/>
    </row>
    <row r="8" ht="22.5" customHeight="1">
      <c r="A8" s="18" t="n"/>
      <c r="B8" s="18" t="n"/>
      <c r="C8" s="18" t="n"/>
      <c r="D8" s="18" t="n"/>
      <c r="E8" s="18" t="n"/>
      <c r="F8" s="18" t="n"/>
      <c r="G8" s="18" t="n"/>
      <c r="H8" s="18" t="n"/>
      <c r="I8" s="1" t="n"/>
      <c r="J8" s="1" t="n"/>
      <c r="K8" s="1" t="n"/>
      <c r="L8" s="1" t="n"/>
      <c r="M8" s="1" t="n"/>
      <c r="N8" s="1" t="n"/>
      <c r="O8" s="1" t="n"/>
      <c r="P8" s="1" t="n"/>
      <c r="Q8" s="1" t="n"/>
      <c r="R8" s="1" t="n"/>
      <c r="S8" s="1" t="n"/>
      <c r="T8" s="1" t="n"/>
      <c r="U8" s="1" t="n"/>
      <c r="V8" s="1" t="n"/>
      <c r="W8" s="1" t="n"/>
      <c r="X8" s="1" t="n"/>
      <c r="Y8" s="1" t="n"/>
      <c r="Z8" s="1" t="n"/>
      <c r="AA8" s="1" t="n"/>
      <c r="AB8" s="1" t="n"/>
    </row>
    <row r="9" ht="22.5" customHeight="1">
      <c r="A9" s="18" t="n"/>
      <c r="B9" s="18" t="n"/>
      <c r="C9" s="18" t="n"/>
      <c r="D9" s="18" t="n"/>
      <c r="E9" s="18" t="n"/>
      <c r="F9" s="18" t="n"/>
      <c r="G9" s="18" t="n"/>
      <c r="H9" s="18" t="n"/>
      <c r="I9" s="1" t="n"/>
      <c r="J9" s="1" t="n"/>
      <c r="K9" s="1" t="n"/>
      <c r="L9" s="1" t="n"/>
      <c r="M9" s="1" t="n"/>
      <c r="N9" s="1" t="n"/>
      <c r="O9" s="1" t="n"/>
      <c r="P9" s="1" t="n"/>
      <c r="Q9" s="1" t="n"/>
      <c r="R9" s="1" t="n"/>
      <c r="S9" s="1" t="n"/>
      <c r="T9" s="1" t="n"/>
      <c r="U9" s="1" t="n"/>
      <c r="V9" s="1" t="n"/>
      <c r="W9" s="1" t="n"/>
      <c r="X9" s="1" t="n"/>
      <c r="Y9" s="1" t="n"/>
      <c r="Z9" s="1" t="n"/>
      <c r="AA9" s="1" t="n"/>
      <c r="AB9" s="1" t="n"/>
    </row>
    <row r="10" ht="22.5" customHeight="1">
      <c r="A10" s="18" t="n"/>
      <c r="B10" s="18" t="n"/>
      <c r="C10" s="18" t="n"/>
      <c r="D10" s="18" t="n"/>
      <c r="E10" s="18" t="n"/>
      <c r="F10" s="18" t="n"/>
      <c r="G10" s="18" t="n"/>
      <c r="H10" s="18" t="n"/>
      <c r="I10" s="1" t="n"/>
      <c r="J10" s="1" t="n"/>
      <c r="K10" s="1" t="n"/>
      <c r="L10" s="1" t="n"/>
      <c r="M10" s="1" t="n"/>
      <c r="N10" s="1" t="n"/>
      <c r="O10" s="1" t="n"/>
      <c r="P10" s="1" t="n"/>
      <c r="Q10" s="1" t="n"/>
      <c r="R10" s="1" t="n"/>
      <c r="S10" s="1" t="n"/>
      <c r="T10" s="1" t="n"/>
      <c r="U10" s="1" t="n"/>
      <c r="V10" s="1" t="n"/>
      <c r="W10" s="1" t="n"/>
      <c r="X10" s="1" t="n"/>
      <c r="Y10" s="1" t="n"/>
      <c r="Z10" s="1" t="n"/>
      <c r="AA10" s="1" t="n"/>
      <c r="AB10" s="1" t="n"/>
    </row>
    <row r="11" ht="22.5" customHeight="1">
      <c r="A11" s="18" t="n"/>
      <c r="B11" s="18" t="n"/>
      <c r="C11" s="18" t="n"/>
      <c r="D11" s="18" t="n"/>
      <c r="E11" s="18" t="n"/>
      <c r="F11" s="18" t="n"/>
      <c r="G11" s="18" t="n"/>
      <c r="H11" s="18" t="n"/>
      <c r="I11" s="1" t="n"/>
      <c r="J11" s="1" t="n"/>
      <c r="K11" s="1" t="n"/>
      <c r="L11" s="1" t="n"/>
      <c r="M11" s="1" t="n"/>
      <c r="N11" s="1" t="n"/>
      <c r="O11" s="1" t="n"/>
      <c r="P11" s="1" t="n"/>
      <c r="Q11" s="1" t="n"/>
      <c r="R11" s="1" t="n"/>
      <c r="S11" s="1" t="n"/>
      <c r="T11" s="1" t="n"/>
      <c r="U11" s="1" t="n"/>
      <c r="V11" s="1" t="n"/>
      <c r="W11" s="1" t="n"/>
      <c r="X11" s="1" t="n"/>
      <c r="Y11" s="1" t="n"/>
      <c r="Z11" s="1" t="n"/>
      <c r="AA11" s="1" t="n"/>
      <c r="AB11" s="1" t="n"/>
    </row>
    <row r="12" ht="22.5" customHeight="1">
      <c r="A12" s="18" t="n"/>
      <c r="B12" s="18" t="n"/>
      <c r="C12" s="18" t="n"/>
      <c r="D12" s="18" t="n"/>
      <c r="E12" s="18" t="n"/>
      <c r="F12" s="18" t="n"/>
      <c r="G12" s="18" t="n"/>
      <c r="H12" s="18" t="n"/>
      <c r="I12" s="1" t="n"/>
      <c r="J12" s="1" t="n"/>
      <c r="K12" s="1" t="n"/>
      <c r="L12" s="1" t="n"/>
      <c r="M12" s="1" t="n"/>
      <c r="N12" s="1" t="n"/>
      <c r="O12" s="1" t="n"/>
      <c r="P12" s="1" t="n"/>
      <c r="Q12" s="1" t="n"/>
      <c r="R12" s="1" t="n"/>
      <c r="S12" s="1" t="n"/>
      <c r="T12" s="1" t="n"/>
      <c r="U12" s="1" t="n"/>
      <c r="V12" s="1" t="n"/>
      <c r="W12" s="1" t="n"/>
      <c r="X12" s="1" t="n"/>
      <c r="Y12" s="1" t="n"/>
      <c r="Z12" s="1" t="n"/>
      <c r="AA12" s="1" t="n"/>
      <c r="AB12" s="1" t="n"/>
    </row>
    <row r="13" ht="22.5" customHeight="1">
      <c r="A13" s="18" t="n"/>
      <c r="B13" s="18" t="n"/>
      <c r="C13" s="18" t="n"/>
      <c r="D13" s="18" t="n"/>
      <c r="E13" s="18" t="n"/>
      <c r="F13" s="18" t="n"/>
      <c r="G13" s="18" t="n"/>
      <c r="H13" s="18" t="n"/>
      <c r="I13" s="1" t="n"/>
      <c r="J13" s="1" t="n"/>
      <c r="K13" s="1" t="n"/>
      <c r="L13" s="1" t="n"/>
      <c r="M13" s="1" t="n"/>
      <c r="N13" s="1" t="n"/>
      <c r="O13" s="1" t="n"/>
      <c r="P13" s="1" t="n"/>
      <c r="Q13" s="1" t="n"/>
      <c r="R13" s="1" t="n"/>
      <c r="S13" s="1" t="n"/>
      <c r="T13" s="1" t="n"/>
      <c r="U13" s="1" t="n"/>
      <c r="V13" s="1" t="n"/>
      <c r="W13" s="1" t="n"/>
      <c r="X13" s="1" t="n"/>
      <c r="Y13" s="1" t="n"/>
      <c r="Z13" s="1" t="n"/>
      <c r="AA13" s="1" t="n"/>
      <c r="AB13" s="1" t="n"/>
    </row>
    <row r="14" ht="22.5" customHeight="1">
      <c r="A14" s="18" t="n"/>
      <c r="B14" s="18" t="n"/>
      <c r="C14" s="18" t="n"/>
      <c r="D14" s="18" t="n"/>
      <c r="E14" s="18" t="n"/>
      <c r="F14" s="18" t="n"/>
      <c r="G14" s="18" t="n"/>
      <c r="H14" s="18" t="n"/>
      <c r="I14" s="1" t="n"/>
      <c r="J14" s="1" t="n"/>
      <c r="K14" s="1" t="n"/>
      <c r="L14" s="1" t="n"/>
      <c r="M14" s="1" t="n"/>
      <c r="N14" s="1" t="n"/>
      <c r="O14" s="1" t="n"/>
      <c r="P14" s="1" t="n"/>
      <c r="Q14" s="1" t="n"/>
      <c r="R14" s="1" t="n"/>
      <c r="S14" s="1" t="n"/>
      <c r="T14" s="1" t="n"/>
      <c r="U14" s="1" t="n"/>
      <c r="V14" s="1" t="n"/>
      <c r="W14" s="1" t="n"/>
      <c r="X14" s="1" t="n"/>
      <c r="Y14" s="1" t="n"/>
      <c r="Z14" s="1" t="n"/>
      <c r="AA14" s="1" t="n"/>
      <c r="AB14" s="1" t="n"/>
    </row>
    <row r="15" ht="22.5" customHeight="1">
      <c r="A15" s="18" t="n"/>
      <c r="B15" s="18" t="n"/>
      <c r="C15" s="18" t="n"/>
      <c r="D15" s="18" t="n"/>
      <c r="E15" s="18" t="n"/>
      <c r="F15" s="18" t="n"/>
      <c r="G15" s="18" t="n"/>
      <c r="H15" s="18" t="n"/>
      <c r="I15" s="1" t="n"/>
      <c r="J15" s="1" t="n"/>
      <c r="K15" s="1" t="n"/>
      <c r="L15" s="1" t="n"/>
      <c r="M15" s="1" t="n"/>
      <c r="N15" s="1" t="n"/>
      <c r="O15" s="1" t="n"/>
      <c r="P15" s="1" t="n"/>
      <c r="Q15" s="1" t="n"/>
      <c r="R15" s="1" t="n"/>
      <c r="S15" s="1" t="n"/>
      <c r="T15" s="1" t="n"/>
      <c r="U15" s="1" t="n"/>
      <c r="V15" s="1" t="n"/>
      <c r="W15" s="1" t="n"/>
      <c r="X15" s="1" t="n"/>
      <c r="Y15" s="1" t="n"/>
      <c r="Z15" s="1" t="n"/>
      <c r="AA15" s="1" t="n"/>
      <c r="AB15" s="1" t="n"/>
    </row>
    <row r="16" ht="22.5" customHeight="1">
      <c r="A16" s="18" t="n"/>
      <c r="B16" s="18" t="n"/>
      <c r="C16" s="18" t="n"/>
      <c r="D16" s="18" t="n"/>
      <c r="E16" s="18" t="n"/>
      <c r="F16" s="18" t="n"/>
      <c r="G16" s="18" t="n"/>
      <c r="H16" s="18" t="n"/>
      <c r="I16" s="1" t="n"/>
      <c r="J16" s="1" t="n"/>
      <c r="K16" s="1" t="n"/>
      <c r="L16" s="1" t="n"/>
      <c r="M16" s="1" t="n"/>
      <c r="N16" s="1" t="n"/>
      <c r="O16" s="1" t="n"/>
      <c r="P16" s="1" t="n"/>
      <c r="Q16" s="1" t="n"/>
      <c r="R16" s="1" t="n"/>
      <c r="S16" s="1" t="n"/>
      <c r="T16" s="1" t="n"/>
      <c r="U16" s="1" t="n"/>
      <c r="V16" s="1" t="n"/>
      <c r="W16" s="1" t="n"/>
      <c r="X16" s="1" t="n"/>
      <c r="Y16" s="1" t="n"/>
      <c r="Z16" s="1" t="n"/>
      <c r="AA16" s="1" t="n"/>
      <c r="AB16" s="1" t="n"/>
    </row>
    <row r="17" ht="22.5" customHeight="1">
      <c r="A17" s="18" t="n"/>
      <c r="B17" s="18" t="n"/>
      <c r="C17" s="18" t="n"/>
      <c r="D17" s="18" t="n"/>
      <c r="E17" s="18" t="n"/>
      <c r="F17" s="18" t="n"/>
      <c r="G17" s="18" t="n"/>
      <c r="H17" s="18" t="n"/>
      <c r="I17" s="1" t="n"/>
      <c r="J17" s="1" t="n"/>
      <c r="K17" s="1" t="n"/>
      <c r="L17" s="1" t="n"/>
      <c r="M17" s="1" t="n"/>
      <c r="N17" s="1" t="n"/>
      <c r="O17" s="1" t="n"/>
      <c r="P17" s="1" t="n"/>
      <c r="Q17" s="1" t="n"/>
      <c r="R17" s="1" t="n"/>
      <c r="S17" s="1" t="n"/>
      <c r="T17" s="1" t="n"/>
      <c r="U17" s="1" t="n"/>
      <c r="V17" s="1" t="n"/>
      <c r="W17" s="1" t="n"/>
      <c r="X17" s="1" t="n"/>
      <c r="Y17" s="1" t="n"/>
      <c r="Z17" s="1" t="n"/>
      <c r="AA17" s="1" t="n"/>
      <c r="AB17" s="1" t="n"/>
    </row>
    <row r="18" ht="22.5" customHeight="1">
      <c r="A18" s="18" t="n"/>
      <c r="B18" s="18" t="n"/>
      <c r="C18" s="18" t="n"/>
      <c r="D18" s="18" t="n"/>
      <c r="E18" s="18" t="n"/>
      <c r="F18" s="18" t="n"/>
      <c r="G18" s="18" t="n"/>
      <c r="H18" s="18" t="n"/>
      <c r="I18" s="1" t="n"/>
      <c r="J18" s="1" t="n"/>
      <c r="K18" s="1" t="n"/>
      <c r="L18" s="1" t="n"/>
      <c r="M18" s="1" t="n"/>
      <c r="N18" s="1" t="n"/>
      <c r="O18" s="1" t="n"/>
      <c r="P18" s="1" t="n"/>
      <c r="Q18" s="1" t="n"/>
      <c r="R18" s="1" t="n"/>
      <c r="S18" s="1" t="n"/>
      <c r="T18" s="1" t="n"/>
      <c r="U18" s="1" t="n"/>
      <c r="V18" s="1" t="n"/>
      <c r="W18" s="1" t="n"/>
      <c r="X18" s="1" t="n"/>
      <c r="Y18" s="1" t="n"/>
      <c r="Z18" s="1" t="n"/>
      <c r="AA18" s="1" t="n"/>
      <c r="AB18" s="1" t="n"/>
    </row>
    <row r="19" ht="22.5" customHeight="1">
      <c r="A19" s="18" t="n"/>
      <c r="B19" s="18" t="n"/>
      <c r="C19" s="18" t="n"/>
      <c r="D19" s="18" t="n"/>
      <c r="E19" s="18" t="n"/>
      <c r="F19" s="18" t="n"/>
      <c r="G19" s="18" t="n"/>
      <c r="H19" s="18" t="n"/>
      <c r="I19" s="1" t="n"/>
      <c r="J19" s="1" t="n"/>
      <c r="K19" s="1" t="n"/>
      <c r="L19" s="1" t="n"/>
      <c r="M19" s="1" t="n"/>
      <c r="N19" s="1" t="n"/>
      <c r="O19" s="1" t="n"/>
      <c r="P19" s="1" t="n"/>
      <c r="Q19" s="1" t="n"/>
      <c r="R19" s="1" t="n"/>
      <c r="S19" s="1" t="n"/>
      <c r="T19" s="1" t="n"/>
      <c r="U19" s="1" t="n"/>
      <c r="V19" s="1" t="n"/>
      <c r="W19" s="1" t="n"/>
      <c r="X19" s="1" t="n"/>
      <c r="Y19" s="1" t="n"/>
      <c r="Z19" s="1" t="n"/>
      <c r="AA19" s="1" t="n"/>
      <c r="AB19" s="1" t="n"/>
    </row>
    <row r="20" ht="22.5" customHeight="1">
      <c r="A20" s="18" t="n"/>
      <c r="B20" s="18" t="n"/>
      <c r="C20" s="18" t="n"/>
      <c r="D20" s="18" t="n"/>
      <c r="E20" s="18" t="n"/>
      <c r="F20" s="18" t="n"/>
      <c r="G20" s="18" t="n"/>
      <c r="H20" s="18" t="n"/>
      <c r="I20" s="1" t="n"/>
      <c r="J20" s="1" t="n"/>
      <c r="K20" s="1" t="n"/>
      <c r="L20" s="1" t="n"/>
      <c r="M20" s="1" t="n"/>
      <c r="N20" s="1" t="n"/>
      <c r="O20" s="1" t="n"/>
      <c r="P20" s="1" t="n"/>
      <c r="Q20" s="1" t="n"/>
      <c r="R20" s="1" t="n"/>
      <c r="S20" s="1" t="n"/>
      <c r="T20" s="1" t="n"/>
      <c r="U20" s="1" t="n"/>
      <c r="V20" s="1" t="n"/>
      <c r="W20" s="1" t="n"/>
      <c r="X20" s="1" t="n"/>
      <c r="Y20" s="1" t="n"/>
      <c r="Z20" s="1" t="n"/>
      <c r="AA20" s="1" t="n"/>
      <c r="AB20" s="1" t="n"/>
    </row>
    <row r="21" ht="22.5" customHeight="1">
      <c r="A21" s="18" t="n"/>
      <c r="B21" s="18" t="n"/>
      <c r="C21" s="18" t="n"/>
      <c r="D21" s="18" t="n"/>
      <c r="E21" s="18" t="n"/>
      <c r="F21" s="18" t="n"/>
      <c r="G21" s="18" t="n"/>
      <c r="H21" s="18" t="n"/>
      <c r="I21" s="1" t="n"/>
      <c r="J21" s="1" t="n"/>
      <c r="K21" s="1" t="n"/>
      <c r="L21" s="1" t="n"/>
      <c r="M21" s="1" t="n"/>
      <c r="N21" s="1" t="n"/>
      <c r="O21" s="1" t="n"/>
      <c r="P21" s="1" t="n"/>
      <c r="Q21" s="1" t="n"/>
      <c r="R21" s="1" t="n"/>
      <c r="S21" s="1" t="n"/>
      <c r="T21" s="1" t="n"/>
      <c r="U21" s="1" t="n"/>
      <c r="V21" s="1" t="n"/>
      <c r="W21" s="1" t="n"/>
      <c r="X21" s="1" t="n"/>
      <c r="Y21" s="1" t="n"/>
      <c r="Z21" s="1" t="n"/>
      <c r="AA21" s="1" t="n"/>
      <c r="AB21" s="1" t="n"/>
    </row>
    <row r="22" ht="22.5" customHeight="1">
      <c r="A22" s="18" t="n"/>
      <c r="B22" s="18" t="n"/>
      <c r="C22" s="18" t="n"/>
      <c r="D22" s="18" t="n"/>
      <c r="E22" s="18" t="n"/>
      <c r="F22" s="18" t="n"/>
      <c r="G22" s="18" t="n"/>
      <c r="H22" s="18" t="n"/>
      <c r="I22" s="1" t="n"/>
      <c r="J22" s="1" t="n"/>
      <c r="K22" s="1" t="n"/>
      <c r="L22" s="1" t="n"/>
      <c r="M22" s="1" t="n"/>
      <c r="N22" s="1" t="n"/>
      <c r="O22" s="1" t="n"/>
      <c r="P22" s="1" t="n"/>
      <c r="Q22" s="1" t="n"/>
      <c r="R22" s="1" t="n"/>
      <c r="S22" s="1" t="n"/>
      <c r="T22" s="1" t="n"/>
      <c r="U22" s="1" t="n"/>
      <c r="V22" s="1" t="n"/>
      <c r="W22" s="1" t="n"/>
      <c r="X22" s="1" t="n"/>
      <c r="Y22" s="1" t="n"/>
      <c r="Z22" s="1" t="n"/>
      <c r="AA22" s="1" t="n"/>
      <c r="AB22" s="1" t="n"/>
    </row>
    <row r="23" ht="22.5" customHeight="1">
      <c r="A23" s="18" t="n"/>
      <c r="B23" s="18" t="n"/>
      <c r="C23" s="18" t="n"/>
      <c r="D23" s="18" t="n"/>
      <c r="E23" s="18" t="n"/>
      <c r="F23" s="18" t="n"/>
      <c r="G23" s="18" t="n"/>
      <c r="H23" s="18" t="n"/>
      <c r="I23" s="1" t="n"/>
      <c r="J23" s="1" t="n"/>
      <c r="K23" s="1" t="n"/>
      <c r="L23" s="1" t="n"/>
      <c r="M23" s="1" t="n"/>
      <c r="N23" s="1" t="n"/>
      <c r="O23" s="1" t="n"/>
      <c r="P23" s="1" t="n"/>
      <c r="Q23" s="1" t="n"/>
      <c r="R23" s="1" t="n"/>
      <c r="S23" s="1" t="n"/>
      <c r="T23" s="1" t="n"/>
      <c r="U23" s="1" t="n"/>
      <c r="V23" s="1" t="n"/>
      <c r="W23" s="1" t="n"/>
      <c r="X23" s="1" t="n"/>
      <c r="Y23" s="1" t="n"/>
      <c r="Z23" s="1" t="n"/>
      <c r="AA23" s="1" t="n"/>
      <c r="AB23" s="1" t="n"/>
    </row>
    <row r="24" ht="22.5" customHeight="1">
      <c r="A24" s="18" t="n"/>
      <c r="B24" s="18" t="n"/>
      <c r="C24" s="18" t="n"/>
      <c r="D24" s="18" t="n"/>
      <c r="E24" s="18" t="n"/>
      <c r="F24" s="18" t="n"/>
      <c r="G24" s="18" t="n"/>
      <c r="H24" s="18" t="n"/>
      <c r="I24" s="1" t="n"/>
      <c r="J24" s="1" t="n"/>
      <c r="K24" s="1" t="n"/>
      <c r="L24" s="1" t="n"/>
      <c r="M24" s="1" t="n"/>
      <c r="N24" s="1" t="n"/>
      <c r="O24" s="1" t="n"/>
      <c r="P24" s="1" t="n"/>
      <c r="Q24" s="1" t="n"/>
      <c r="R24" s="1" t="n"/>
      <c r="S24" s="1" t="n"/>
      <c r="T24" s="1" t="n"/>
      <c r="U24" s="1" t="n"/>
      <c r="V24" s="1" t="n"/>
      <c r="W24" s="1" t="n"/>
      <c r="X24" s="1" t="n"/>
      <c r="Y24" s="1" t="n"/>
      <c r="Z24" s="1" t="n"/>
      <c r="AA24" s="1" t="n"/>
      <c r="AB24" s="1" t="n"/>
    </row>
    <row r="25" ht="22.5" customHeight="1">
      <c r="A25" s="18" t="n"/>
      <c r="B25" s="18" t="n"/>
      <c r="C25" s="18" t="n"/>
      <c r="D25" s="18" t="n"/>
      <c r="E25" s="18" t="n"/>
      <c r="F25" s="18" t="n"/>
      <c r="G25" s="18" t="n"/>
      <c r="H25" s="18" t="n"/>
      <c r="I25" s="1" t="n"/>
      <c r="J25" s="1" t="n"/>
      <c r="K25" s="1" t="n"/>
      <c r="L25" s="1" t="n"/>
      <c r="M25" s="1" t="n"/>
      <c r="N25" s="1" t="n"/>
      <c r="O25" s="1" t="n"/>
      <c r="P25" s="1" t="n"/>
      <c r="Q25" s="1" t="n"/>
      <c r="R25" s="1" t="n"/>
      <c r="S25" s="1" t="n"/>
      <c r="T25" s="1" t="n"/>
      <c r="U25" s="1" t="n"/>
      <c r="V25" s="1" t="n"/>
      <c r="W25" s="1" t="n"/>
      <c r="X25" s="1" t="n"/>
      <c r="Y25" s="1" t="n"/>
      <c r="Z25" s="1" t="n"/>
      <c r="AA25" s="1" t="n"/>
      <c r="AB25" s="1" t="n"/>
    </row>
    <row r="26" ht="22.5" customHeight="1">
      <c r="A26" s="18" t="n"/>
      <c r="B26" s="18" t="n"/>
      <c r="C26" s="18" t="n"/>
      <c r="D26" s="18" t="n"/>
      <c r="E26" s="18" t="n"/>
      <c r="F26" s="18" t="n"/>
      <c r="G26" s="18" t="n"/>
      <c r="H26" s="18" t="n"/>
      <c r="I26" s="1" t="n"/>
      <c r="J26" s="1" t="n"/>
      <c r="K26" s="1" t="n"/>
      <c r="L26" s="1" t="n"/>
      <c r="M26" s="1" t="n"/>
      <c r="N26" s="1" t="n"/>
      <c r="O26" s="1" t="n"/>
      <c r="P26" s="1" t="n"/>
      <c r="Q26" s="1" t="n"/>
      <c r="R26" s="1" t="n"/>
      <c r="S26" s="1" t="n"/>
      <c r="T26" s="1" t="n"/>
      <c r="U26" s="1" t="n"/>
      <c r="V26" s="1" t="n"/>
      <c r="W26" s="1" t="n"/>
      <c r="X26" s="1" t="n"/>
      <c r="Y26" s="1" t="n"/>
      <c r="Z26" s="1" t="n"/>
      <c r="AA26" s="1" t="n"/>
      <c r="AB26" s="1" t="n"/>
    </row>
    <row r="27" ht="22.5" customHeight="1">
      <c r="A27" s="18" t="n"/>
      <c r="B27" s="18" t="n"/>
      <c r="C27" s="18" t="n"/>
      <c r="D27" s="18" t="n"/>
      <c r="E27" s="18" t="n"/>
      <c r="F27" s="18" t="n"/>
      <c r="G27" s="18" t="n"/>
      <c r="H27" s="18" t="n"/>
      <c r="I27" s="1" t="n"/>
      <c r="J27" s="1" t="n"/>
      <c r="K27" s="1" t="n"/>
      <c r="L27" s="1" t="n"/>
      <c r="M27" s="1" t="n"/>
      <c r="N27" s="1" t="n"/>
      <c r="O27" s="1" t="n"/>
      <c r="P27" s="1" t="n"/>
      <c r="Q27" s="1" t="n"/>
      <c r="R27" s="1" t="n"/>
      <c r="S27" s="1" t="n"/>
      <c r="T27" s="1" t="n"/>
      <c r="U27" s="1" t="n"/>
      <c r="V27" s="1" t="n"/>
      <c r="W27" s="1" t="n"/>
      <c r="X27" s="1" t="n"/>
      <c r="Y27" s="1" t="n"/>
      <c r="Z27" s="1" t="n"/>
      <c r="AA27" s="1" t="n"/>
      <c r="AB27" s="1" t="n"/>
    </row>
    <row r="28" ht="22.5" customHeight="1">
      <c r="A28" s="18" t="n"/>
      <c r="B28" s="18" t="n"/>
      <c r="C28" s="18" t="n"/>
      <c r="D28" s="18" t="n"/>
      <c r="E28" s="18" t="n"/>
      <c r="F28" s="18" t="n"/>
      <c r="G28" s="18" t="n"/>
      <c r="H28" s="18" t="n"/>
      <c r="I28" s="1" t="n"/>
      <c r="J28" s="1" t="n"/>
      <c r="K28" s="1" t="n"/>
      <c r="L28" s="1" t="n"/>
      <c r="M28" s="1" t="n"/>
      <c r="N28" s="1" t="n"/>
      <c r="O28" s="1" t="n"/>
      <c r="P28" s="1" t="n"/>
      <c r="Q28" s="1" t="n"/>
      <c r="R28" s="1" t="n"/>
      <c r="S28" s="1" t="n"/>
      <c r="T28" s="1" t="n"/>
      <c r="U28" s="1" t="n"/>
      <c r="V28" s="1" t="n"/>
      <c r="W28" s="1" t="n"/>
      <c r="X28" s="1" t="n"/>
      <c r="Y28" s="1" t="n"/>
      <c r="Z28" s="1" t="n"/>
      <c r="AA28" s="1" t="n"/>
      <c r="AB28" s="1" t="n"/>
    </row>
    <row r="29" ht="22.5" customHeight="1">
      <c r="A29" s="18" t="n"/>
      <c r="B29" s="18" t="n"/>
      <c r="C29" s="18" t="n"/>
      <c r="D29" s="18" t="n"/>
      <c r="E29" s="18" t="n"/>
      <c r="F29" s="18" t="n"/>
      <c r="G29" s="18" t="n"/>
      <c r="H29" s="18" t="n"/>
      <c r="I29" s="1" t="n"/>
      <c r="J29" s="1" t="n"/>
      <c r="K29" s="1" t="n"/>
      <c r="L29" s="1" t="n"/>
      <c r="M29" s="1" t="n"/>
      <c r="N29" s="1" t="n"/>
      <c r="O29" s="1" t="n"/>
      <c r="P29" s="1" t="n"/>
      <c r="Q29" s="1" t="n"/>
      <c r="R29" s="1" t="n"/>
      <c r="S29" s="1" t="n"/>
      <c r="T29" s="1" t="n"/>
      <c r="U29" s="1" t="n"/>
      <c r="V29" s="1" t="n"/>
      <c r="W29" s="1" t="n"/>
      <c r="X29" s="1" t="n"/>
      <c r="Y29" s="1" t="n"/>
      <c r="Z29" s="1" t="n"/>
      <c r="AA29" s="1" t="n"/>
      <c r="AB29" s="1" t="n"/>
    </row>
    <row r="30" ht="22.5" customHeight="1">
      <c r="A30" s="18" t="n"/>
      <c r="B30" s="18" t="n"/>
      <c r="C30" s="18" t="n"/>
      <c r="D30" s="18" t="n"/>
      <c r="E30" s="18" t="n"/>
      <c r="F30" s="18" t="n"/>
      <c r="G30" s="18" t="n"/>
      <c r="H30" s="18" t="n"/>
      <c r="I30" s="1" t="n"/>
      <c r="J30" s="1" t="n"/>
      <c r="K30" s="1" t="n"/>
      <c r="L30" s="1" t="n"/>
      <c r="M30" s="1" t="n"/>
      <c r="N30" s="1" t="n"/>
      <c r="O30" s="1" t="n"/>
      <c r="P30" s="1" t="n"/>
      <c r="Q30" s="1" t="n"/>
      <c r="R30" s="1" t="n"/>
      <c r="S30" s="1" t="n"/>
      <c r="T30" s="1" t="n"/>
      <c r="U30" s="1" t="n"/>
      <c r="V30" s="1" t="n"/>
      <c r="W30" s="1" t="n"/>
      <c r="X30" s="1" t="n"/>
      <c r="Y30" s="1" t="n"/>
      <c r="Z30" s="1" t="n"/>
      <c r="AA30" s="1" t="n"/>
      <c r="AB30" s="1" t="n"/>
    </row>
    <row r="31" ht="22.5" customHeight="1">
      <c r="A31" s="18" t="n"/>
      <c r="B31" s="18" t="n"/>
      <c r="C31" s="18" t="n"/>
      <c r="D31" s="18" t="n"/>
      <c r="E31" s="18" t="n"/>
      <c r="F31" s="18" t="n"/>
      <c r="G31" s="18" t="n"/>
      <c r="H31" s="18" t="n"/>
      <c r="I31" s="1" t="n"/>
      <c r="J31" s="1" t="n"/>
      <c r="K31" s="1" t="n"/>
      <c r="L31" s="1" t="n"/>
      <c r="M31" s="1" t="n"/>
      <c r="N31" s="1" t="n"/>
      <c r="O31" s="1" t="n"/>
      <c r="P31" s="1" t="n"/>
      <c r="Q31" s="1" t="n"/>
      <c r="R31" s="1" t="n"/>
      <c r="S31" s="1" t="n"/>
      <c r="T31" s="1" t="n"/>
      <c r="U31" s="1" t="n"/>
      <c r="V31" s="1" t="n"/>
      <c r="W31" s="1" t="n"/>
      <c r="X31" s="1" t="n"/>
      <c r="Y31" s="1" t="n"/>
      <c r="Z31" s="1" t="n"/>
      <c r="AA31" s="1" t="n"/>
      <c r="AB31" s="1" t="n"/>
    </row>
    <row r="32" ht="22.5" customHeight="1">
      <c r="A32" s="18" t="n"/>
      <c r="B32" s="18" t="n"/>
      <c r="C32" s="18" t="n"/>
      <c r="D32" s="18" t="n"/>
      <c r="E32" s="18" t="n"/>
      <c r="F32" s="18" t="n"/>
      <c r="G32" s="18" t="n"/>
      <c r="H32" s="18" t="n"/>
      <c r="I32" s="1" t="n"/>
      <c r="J32" s="1" t="n"/>
      <c r="K32" s="1" t="n"/>
      <c r="L32" s="1" t="n"/>
      <c r="M32" s="1" t="n"/>
      <c r="N32" s="1" t="n"/>
      <c r="O32" s="1" t="n"/>
      <c r="P32" s="1" t="n"/>
      <c r="Q32" s="1" t="n"/>
      <c r="R32" s="1" t="n"/>
      <c r="S32" s="1" t="n"/>
      <c r="T32" s="1" t="n"/>
      <c r="U32" s="1" t="n"/>
      <c r="V32" s="1" t="n"/>
      <c r="W32" s="1" t="n"/>
      <c r="X32" s="1" t="n"/>
      <c r="Y32" s="1" t="n"/>
      <c r="Z32" s="1" t="n"/>
      <c r="AA32" s="1" t="n"/>
      <c r="AB32" s="1" t="n"/>
    </row>
    <row r="33" ht="22.5" customHeight="1">
      <c r="A33" s="18" t="n"/>
      <c r="B33" s="18" t="n"/>
      <c r="C33" s="18" t="n"/>
      <c r="D33" s="18" t="n"/>
      <c r="E33" s="18" t="n"/>
      <c r="F33" s="18" t="n"/>
      <c r="G33" s="18" t="n"/>
      <c r="H33" s="18" t="n"/>
      <c r="I33" s="1" t="n"/>
      <c r="J33" s="1" t="n"/>
      <c r="K33" s="1" t="n"/>
      <c r="L33" s="1" t="n"/>
      <c r="M33" s="1" t="n"/>
      <c r="N33" s="1" t="n"/>
      <c r="O33" s="1" t="n"/>
      <c r="P33" s="1" t="n"/>
      <c r="Q33" s="1" t="n"/>
      <c r="R33" s="1" t="n"/>
      <c r="S33" s="1" t="n"/>
      <c r="T33" s="1" t="n"/>
      <c r="U33" s="1" t="n"/>
      <c r="V33" s="1" t="n"/>
      <c r="W33" s="1" t="n"/>
      <c r="X33" s="1" t="n"/>
      <c r="Y33" s="1" t="n"/>
      <c r="Z33" s="1" t="n"/>
      <c r="AA33" s="1" t="n"/>
      <c r="AB33" s="1" t="n"/>
    </row>
    <row r="34" ht="22.5" customHeight="1">
      <c r="A34" s="18" t="n"/>
      <c r="B34" s="18" t="n"/>
      <c r="C34" s="18" t="n"/>
      <c r="D34" s="18" t="n"/>
      <c r="E34" s="18" t="n"/>
      <c r="F34" s="18" t="n"/>
      <c r="G34" s="18" t="n"/>
      <c r="H34" s="18" t="n"/>
      <c r="I34" s="1" t="n"/>
      <c r="J34" s="1" t="n"/>
      <c r="K34" s="1" t="n"/>
      <c r="L34" s="1" t="n"/>
      <c r="M34" s="1" t="n"/>
      <c r="N34" s="1" t="n"/>
      <c r="O34" s="1" t="n"/>
      <c r="P34" s="1" t="n"/>
      <c r="Q34" s="1" t="n"/>
      <c r="R34" s="1" t="n"/>
      <c r="S34" s="1" t="n"/>
      <c r="T34" s="1" t="n"/>
      <c r="U34" s="1" t="n"/>
      <c r="V34" s="1" t="n"/>
      <c r="W34" s="1" t="n"/>
      <c r="X34" s="1" t="n"/>
      <c r="Y34" s="1" t="n"/>
      <c r="Z34" s="1" t="n"/>
      <c r="AA34" s="1" t="n"/>
      <c r="AB34" s="1" t="n"/>
    </row>
    <row r="35" ht="22.5" customHeight="1">
      <c r="A35" s="18" t="n"/>
      <c r="B35" s="18" t="n"/>
      <c r="C35" s="18" t="n"/>
      <c r="D35" s="18" t="n"/>
      <c r="E35" s="18" t="n"/>
      <c r="F35" s="18" t="n"/>
      <c r="G35" s="18" t="n"/>
      <c r="H35" s="18" t="n"/>
      <c r="I35" s="1" t="n"/>
      <c r="J35" s="1" t="n"/>
      <c r="K35" s="1" t="n"/>
      <c r="L35" s="1" t="n"/>
      <c r="M35" s="1" t="n"/>
      <c r="N35" s="1" t="n"/>
      <c r="O35" s="1" t="n"/>
      <c r="P35" s="1" t="n"/>
      <c r="Q35" s="1" t="n"/>
      <c r="R35" s="1" t="n"/>
      <c r="S35" s="1" t="n"/>
      <c r="T35" s="1" t="n"/>
      <c r="U35" s="1" t="n"/>
      <c r="V35" s="1" t="n"/>
      <c r="W35" s="1" t="n"/>
      <c r="X35" s="1" t="n"/>
      <c r="Y35" s="1" t="n"/>
      <c r="Z35" s="1" t="n"/>
      <c r="AA35" s="1" t="n"/>
      <c r="AB35" s="1" t="n"/>
    </row>
    <row r="36" ht="22.5" customHeight="1">
      <c r="A36" s="18" t="n"/>
      <c r="B36" s="18" t="n"/>
      <c r="C36" s="18" t="n"/>
      <c r="D36" s="18" t="n"/>
      <c r="E36" s="18" t="n"/>
      <c r="F36" s="18" t="n"/>
      <c r="G36" s="18" t="n"/>
      <c r="H36" s="18" t="n"/>
      <c r="I36" s="1" t="n"/>
      <c r="J36" s="1" t="n"/>
      <c r="K36" s="1" t="n"/>
      <c r="L36" s="1" t="n"/>
      <c r="M36" s="1" t="n"/>
      <c r="N36" s="1" t="n"/>
      <c r="O36" s="1" t="n"/>
      <c r="P36" s="1" t="n"/>
      <c r="Q36" s="1" t="n"/>
      <c r="R36" s="1" t="n"/>
      <c r="S36" s="1" t="n"/>
      <c r="T36" s="1" t="n"/>
      <c r="U36" s="1" t="n"/>
      <c r="V36" s="1" t="n"/>
      <c r="W36" s="1" t="n"/>
      <c r="X36" s="1" t="n"/>
      <c r="Y36" s="1" t="n"/>
      <c r="Z36" s="1" t="n"/>
      <c r="AA36" s="1" t="n"/>
      <c r="AB36" s="1" t="n"/>
    </row>
    <row r="37" ht="22.5" customHeight="1">
      <c r="A37" s="18" t="n"/>
      <c r="B37" s="18" t="n"/>
      <c r="C37" s="18" t="n"/>
      <c r="D37" s="18" t="n"/>
      <c r="E37" s="18" t="n"/>
      <c r="F37" s="18" t="n"/>
      <c r="G37" s="18" t="n"/>
      <c r="H37" s="18" t="n"/>
      <c r="I37" s="1" t="n"/>
      <c r="J37" s="1" t="n"/>
      <c r="K37" s="1" t="n"/>
      <c r="L37" s="1" t="n"/>
      <c r="M37" s="1" t="n"/>
      <c r="N37" s="1" t="n"/>
      <c r="O37" s="1" t="n"/>
      <c r="P37" s="1" t="n"/>
      <c r="Q37" s="1" t="n"/>
      <c r="R37" s="1" t="n"/>
      <c r="S37" s="1" t="n"/>
      <c r="T37" s="1" t="n"/>
      <c r="U37" s="1" t="n"/>
      <c r="V37" s="1" t="n"/>
      <c r="W37" s="1" t="n"/>
      <c r="X37" s="1" t="n"/>
      <c r="Y37" s="1" t="n"/>
      <c r="Z37" s="1" t="n"/>
      <c r="AA37" s="1" t="n"/>
      <c r="AB37" s="1" t="n"/>
    </row>
    <row r="38" ht="22.5" customHeight="1">
      <c r="A38" s="18" t="n"/>
      <c r="B38" s="18" t="n"/>
      <c r="C38" s="18" t="n"/>
      <c r="D38" s="18" t="n"/>
      <c r="E38" s="18" t="n"/>
      <c r="F38" s="18" t="n"/>
      <c r="G38" s="18" t="n"/>
      <c r="H38" s="18" t="n"/>
      <c r="I38" s="1" t="n"/>
      <c r="J38" s="1" t="n"/>
      <c r="K38" s="1" t="n"/>
      <c r="L38" s="1" t="n"/>
      <c r="M38" s="1" t="n"/>
      <c r="N38" s="1" t="n"/>
      <c r="O38" s="1" t="n"/>
      <c r="P38" s="1" t="n"/>
      <c r="Q38" s="1" t="n"/>
      <c r="R38" s="1" t="n"/>
      <c r="S38" s="1" t="n"/>
      <c r="T38" s="1" t="n"/>
      <c r="U38" s="1" t="n"/>
      <c r="V38" s="1" t="n"/>
      <c r="W38" s="1" t="n"/>
      <c r="X38" s="1" t="n"/>
      <c r="Y38" s="1" t="n"/>
      <c r="Z38" s="1" t="n"/>
      <c r="AA38" s="1" t="n"/>
      <c r="AB38" s="1" t="n"/>
    </row>
    <row r="39" ht="22.5" customHeight="1">
      <c r="A39" s="18" t="n"/>
      <c r="B39" s="18" t="n"/>
      <c r="C39" s="18" t="n"/>
      <c r="D39" s="18" t="n"/>
      <c r="E39" s="18" t="n"/>
      <c r="F39" s="18" t="n"/>
      <c r="G39" s="18" t="n"/>
      <c r="H39" s="18" t="n"/>
      <c r="I39" s="1" t="n"/>
      <c r="J39" s="1" t="n"/>
      <c r="K39" s="1" t="n"/>
      <c r="L39" s="1" t="n"/>
      <c r="M39" s="1" t="n"/>
      <c r="N39" s="1" t="n"/>
      <c r="O39" s="1" t="n"/>
      <c r="P39" s="1" t="n"/>
      <c r="Q39" s="1" t="n"/>
      <c r="R39" s="1" t="n"/>
      <c r="S39" s="1" t="n"/>
      <c r="T39" s="1" t="n"/>
      <c r="U39" s="1" t="n"/>
      <c r="V39" s="1" t="n"/>
      <c r="W39" s="1" t="n"/>
      <c r="X39" s="1" t="n"/>
      <c r="Y39" s="1" t="n"/>
      <c r="Z39" s="1" t="n"/>
      <c r="AA39" s="1" t="n"/>
      <c r="AB39" s="1" t="n"/>
    </row>
    <row r="40" ht="22.5" customHeight="1">
      <c r="A40" s="18" t="n"/>
      <c r="B40" s="18" t="n"/>
      <c r="C40" s="18" t="n"/>
      <c r="D40" s="18" t="n"/>
      <c r="E40" s="18" t="n"/>
      <c r="F40" s="18" t="n"/>
      <c r="G40" s="18" t="n"/>
      <c r="H40" s="18" t="n"/>
      <c r="I40" s="1" t="n"/>
      <c r="J40" s="1" t="n"/>
      <c r="K40" s="1" t="n"/>
      <c r="L40" s="1" t="n"/>
      <c r="M40" s="1" t="n"/>
      <c r="N40" s="1" t="n"/>
      <c r="O40" s="1" t="n"/>
      <c r="P40" s="1" t="n"/>
      <c r="Q40" s="1" t="n"/>
      <c r="R40" s="1" t="n"/>
      <c r="S40" s="1" t="n"/>
      <c r="T40" s="1" t="n"/>
      <c r="U40" s="1" t="n"/>
      <c r="V40" s="1" t="n"/>
      <c r="W40" s="1" t="n"/>
      <c r="X40" s="1" t="n"/>
      <c r="Y40" s="1" t="n"/>
      <c r="Z40" s="1" t="n"/>
      <c r="AA40" s="1" t="n"/>
      <c r="AB40" s="1" t="n"/>
    </row>
    <row r="41" ht="22.5" customHeight="1">
      <c r="A41" s="18" t="n"/>
      <c r="B41" s="18" t="n"/>
      <c r="C41" s="18" t="n"/>
      <c r="D41" s="18" t="n"/>
      <c r="E41" s="18" t="n"/>
      <c r="F41" s="18" t="n"/>
      <c r="G41" s="18" t="n"/>
      <c r="H41" s="18" t="n"/>
      <c r="I41" s="1" t="n"/>
      <c r="J41" s="1" t="n"/>
      <c r="K41" s="1" t="n"/>
      <c r="L41" s="1" t="n"/>
      <c r="M41" s="1" t="n"/>
      <c r="N41" s="1" t="n"/>
      <c r="O41" s="1" t="n"/>
      <c r="P41" s="1" t="n"/>
      <c r="Q41" s="1" t="n"/>
      <c r="R41" s="1" t="n"/>
      <c r="S41" s="1" t="n"/>
      <c r="T41" s="1" t="n"/>
      <c r="U41" s="1" t="n"/>
      <c r="V41" s="1" t="n"/>
      <c r="W41" s="1" t="n"/>
      <c r="X41" s="1" t="n"/>
      <c r="Y41" s="1" t="n"/>
      <c r="Z41" s="1" t="n"/>
      <c r="AA41" s="1" t="n"/>
      <c r="AB41" s="1" t="n"/>
    </row>
    <row r="42" ht="22.5" customHeight="1">
      <c r="A42" s="18" t="n"/>
      <c r="B42" s="18" t="n"/>
      <c r="C42" s="18" t="n"/>
      <c r="D42" s="18" t="n"/>
      <c r="E42" s="18" t="n"/>
      <c r="F42" s="18" t="n"/>
      <c r="G42" s="18" t="n"/>
      <c r="H42" s="18" t="n"/>
      <c r="I42" s="1" t="n"/>
      <c r="J42" s="1" t="n"/>
      <c r="K42" s="1" t="n"/>
      <c r="L42" s="1" t="n"/>
      <c r="M42" s="1" t="n"/>
      <c r="N42" s="1" t="n"/>
      <c r="O42" s="1" t="n"/>
      <c r="P42" s="1" t="n"/>
      <c r="Q42" s="1" t="n"/>
      <c r="R42" s="1" t="n"/>
      <c r="S42" s="1" t="n"/>
      <c r="T42" s="1" t="n"/>
      <c r="U42" s="1" t="n"/>
      <c r="V42" s="1" t="n"/>
      <c r="W42" s="1" t="n"/>
      <c r="X42" s="1" t="n"/>
      <c r="Y42" s="1" t="n"/>
      <c r="Z42" s="1" t="n"/>
      <c r="AA42" s="1" t="n"/>
      <c r="AB42" s="1" t="n"/>
    </row>
    <row r="43" ht="22.5" customHeight="1">
      <c r="A43" s="18" t="n"/>
      <c r="B43" s="18" t="n"/>
      <c r="C43" s="18" t="n"/>
      <c r="D43" s="18" t="n"/>
      <c r="E43" s="18" t="n"/>
      <c r="F43" s="18" t="n"/>
      <c r="G43" s="18" t="n"/>
      <c r="H43" s="18" t="n"/>
      <c r="I43" s="1" t="n"/>
      <c r="J43" s="1" t="n"/>
      <c r="K43" s="1" t="n"/>
      <c r="L43" s="1" t="n"/>
      <c r="M43" s="1" t="n"/>
      <c r="N43" s="1" t="n"/>
      <c r="O43" s="1" t="n"/>
      <c r="P43" s="1" t="n"/>
      <c r="Q43" s="1" t="n"/>
      <c r="R43" s="1" t="n"/>
      <c r="S43" s="1" t="n"/>
      <c r="T43" s="1" t="n"/>
      <c r="U43" s="1" t="n"/>
      <c r="V43" s="1" t="n"/>
      <c r="W43" s="1" t="n"/>
      <c r="X43" s="1" t="n"/>
      <c r="Y43" s="1" t="n"/>
      <c r="Z43" s="1" t="n"/>
      <c r="AA43" s="1" t="n"/>
      <c r="AB43" s="1" t="n"/>
    </row>
    <row r="44" ht="22.5" customHeight="1">
      <c r="A44" s="18" t="n"/>
      <c r="B44" s="18" t="n"/>
      <c r="C44" s="18" t="n"/>
      <c r="D44" s="18" t="n"/>
      <c r="E44" s="18" t="n"/>
      <c r="F44" s="18" t="n"/>
      <c r="G44" s="18" t="n"/>
      <c r="H44" s="18" t="n"/>
      <c r="I44" s="1" t="n"/>
      <c r="J44" s="1" t="n"/>
      <c r="K44" s="1" t="n"/>
      <c r="L44" s="1" t="n"/>
      <c r="M44" s="1" t="n"/>
      <c r="N44" s="1" t="n"/>
      <c r="O44" s="1" t="n"/>
      <c r="P44" s="1" t="n"/>
      <c r="Q44" s="1" t="n"/>
      <c r="R44" s="1" t="n"/>
      <c r="S44" s="1" t="n"/>
      <c r="T44" s="1" t="n"/>
      <c r="U44" s="1" t="n"/>
      <c r="V44" s="1" t="n"/>
      <c r="W44" s="1" t="n"/>
      <c r="X44" s="1" t="n"/>
      <c r="Y44" s="1" t="n"/>
      <c r="Z44" s="1" t="n"/>
      <c r="AA44" s="1" t="n"/>
      <c r="AB44" s="1" t="n"/>
    </row>
    <row r="45" ht="22.5" customHeight="1">
      <c r="A45" s="18" t="n"/>
      <c r="B45" s="18" t="n"/>
      <c r="C45" s="18" t="n"/>
      <c r="D45" s="18" t="n"/>
      <c r="E45" s="18" t="n"/>
      <c r="F45" s="18" t="n"/>
      <c r="G45" s="18" t="n"/>
      <c r="H45" s="18" t="n"/>
      <c r="I45" s="1" t="n"/>
      <c r="J45" s="1" t="n"/>
      <c r="K45" s="1" t="n"/>
      <c r="L45" s="1" t="n"/>
      <c r="M45" s="1" t="n"/>
      <c r="N45" s="1" t="n"/>
      <c r="O45" s="1" t="n"/>
      <c r="P45" s="1" t="n"/>
      <c r="Q45" s="1" t="n"/>
      <c r="R45" s="1" t="n"/>
      <c r="S45" s="1" t="n"/>
      <c r="T45" s="1" t="n"/>
      <c r="U45" s="1" t="n"/>
      <c r="V45" s="1" t="n"/>
      <c r="W45" s="1" t="n"/>
      <c r="X45" s="1" t="n"/>
      <c r="Y45" s="1" t="n"/>
      <c r="Z45" s="1" t="n"/>
      <c r="AA45" s="1" t="n"/>
      <c r="AB45" s="1" t="n"/>
    </row>
    <row r="46" ht="22.5" customHeight="1">
      <c r="A46" s="18" t="n"/>
      <c r="B46" s="18" t="n"/>
      <c r="C46" s="18" t="n"/>
      <c r="D46" s="18" t="n"/>
      <c r="E46" s="18" t="n"/>
      <c r="F46" s="18" t="n"/>
      <c r="G46" s="18" t="n"/>
      <c r="H46" s="18" t="n"/>
      <c r="I46" s="1" t="n"/>
      <c r="J46" s="1" t="n"/>
      <c r="K46" s="1" t="n"/>
      <c r="L46" s="1" t="n"/>
      <c r="M46" s="1" t="n"/>
      <c r="N46" s="1" t="n"/>
      <c r="O46" s="1" t="n"/>
      <c r="P46" s="1" t="n"/>
      <c r="Q46" s="1" t="n"/>
      <c r="R46" s="1" t="n"/>
      <c r="S46" s="1" t="n"/>
      <c r="T46" s="1" t="n"/>
      <c r="U46" s="1" t="n"/>
      <c r="V46" s="1" t="n"/>
      <c r="W46" s="1" t="n"/>
      <c r="X46" s="1" t="n"/>
      <c r="Y46" s="1" t="n"/>
      <c r="Z46" s="1" t="n"/>
      <c r="AA46" s="1" t="n"/>
      <c r="AB46" s="1" t="n"/>
    </row>
    <row r="47" ht="22.5" customHeight="1">
      <c r="A47" s="18" t="n"/>
      <c r="B47" s="18" t="n"/>
      <c r="C47" s="18" t="n"/>
      <c r="D47" s="18" t="n"/>
      <c r="E47" s="18" t="n"/>
      <c r="F47" s="18" t="n"/>
      <c r="G47" s="18" t="n"/>
      <c r="H47" s="18" t="n"/>
      <c r="I47" s="1" t="n"/>
      <c r="J47" s="1" t="n"/>
      <c r="K47" s="1" t="n"/>
      <c r="L47" s="1" t="n"/>
      <c r="M47" s="1" t="n"/>
      <c r="N47" s="1" t="n"/>
      <c r="O47" s="1" t="n"/>
      <c r="P47" s="1" t="n"/>
      <c r="Q47" s="1" t="n"/>
      <c r="R47" s="1" t="n"/>
      <c r="S47" s="1" t="n"/>
      <c r="T47" s="1" t="n"/>
      <c r="U47" s="1" t="n"/>
      <c r="V47" s="1" t="n"/>
      <c r="W47" s="1" t="n"/>
      <c r="X47" s="1" t="n"/>
      <c r="Y47" s="1" t="n"/>
      <c r="Z47" s="1" t="n"/>
      <c r="AA47" s="1" t="n"/>
      <c r="AB47" s="1" t="n"/>
    </row>
    <row r="48" ht="22.5" customHeight="1">
      <c r="A48" s="18" t="n"/>
      <c r="B48" s="18" t="n"/>
      <c r="C48" s="18" t="n"/>
      <c r="D48" s="18" t="n"/>
      <c r="E48" s="18" t="n"/>
      <c r="F48" s="18" t="n"/>
      <c r="G48" s="18" t="n"/>
      <c r="H48" s="18" t="n"/>
      <c r="I48" s="1" t="n"/>
      <c r="J48" s="1" t="n"/>
      <c r="K48" s="1" t="n"/>
      <c r="L48" s="1" t="n"/>
      <c r="M48" s="1" t="n"/>
      <c r="N48" s="1" t="n"/>
      <c r="O48" s="1" t="n"/>
      <c r="P48" s="1" t="n"/>
      <c r="Q48" s="1" t="n"/>
      <c r="R48" s="1" t="n"/>
      <c r="S48" s="1" t="n"/>
      <c r="T48" s="1" t="n"/>
      <c r="U48" s="1" t="n"/>
      <c r="V48" s="1" t="n"/>
      <c r="W48" s="1" t="n"/>
      <c r="X48" s="1" t="n"/>
      <c r="Y48" s="1" t="n"/>
      <c r="Z48" s="1" t="n"/>
      <c r="AA48" s="1" t="n"/>
      <c r="AB48" s="1" t="n"/>
    </row>
    <row r="49" ht="22.5" customHeight="1">
      <c r="A49" s="18" t="n"/>
      <c r="B49" s="18" t="n"/>
      <c r="C49" s="18" t="n"/>
      <c r="D49" s="18" t="n"/>
      <c r="E49" s="18" t="n"/>
      <c r="F49" s="18" t="n"/>
      <c r="G49" s="18" t="n"/>
      <c r="H49" s="18" t="n"/>
      <c r="I49" s="1" t="n"/>
      <c r="J49" s="1" t="n"/>
      <c r="K49" s="1" t="n"/>
      <c r="L49" s="1" t="n"/>
      <c r="M49" s="1" t="n"/>
      <c r="N49" s="1" t="n"/>
      <c r="O49" s="1" t="n"/>
      <c r="P49" s="1" t="n"/>
      <c r="Q49" s="1" t="n"/>
      <c r="R49" s="1" t="n"/>
      <c r="S49" s="1" t="n"/>
      <c r="T49" s="1" t="n"/>
      <c r="U49" s="1" t="n"/>
      <c r="V49" s="1" t="n"/>
      <c r="W49" s="1" t="n"/>
      <c r="X49" s="1" t="n"/>
      <c r="Y49" s="1" t="n"/>
      <c r="Z49" s="1" t="n"/>
      <c r="AA49" s="1" t="n"/>
      <c r="AB49" s="1" t="n"/>
    </row>
    <row r="50" ht="22.5" customHeight="1">
      <c r="A50" s="18" t="n"/>
      <c r="B50" s="18" t="n"/>
      <c r="C50" s="18" t="n"/>
      <c r="D50" s="18" t="n"/>
      <c r="E50" s="18" t="n"/>
      <c r="F50" s="18" t="n"/>
      <c r="G50" s="18" t="n"/>
      <c r="H50" s="18" t="n"/>
      <c r="I50" s="1" t="n"/>
      <c r="J50" s="1" t="n"/>
      <c r="K50" s="1" t="n"/>
      <c r="L50" s="1" t="n"/>
      <c r="M50" s="1" t="n"/>
      <c r="N50" s="1" t="n"/>
      <c r="O50" s="1" t="n"/>
      <c r="P50" s="1" t="n"/>
      <c r="Q50" s="1" t="n"/>
      <c r="R50" s="1" t="n"/>
      <c r="S50" s="1" t="n"/>
      <c r="T50" s="1" t="n"/>
      <c r="U50" s="1" t="n"/>
      <c r="V50" s="1" t="n"/>
      <c r="W50" s="1" t="n"/>
      <c r="X50" s="1" t="n"/>
      <c r="Y50" s="1" t="n"/>
      <c r="Z50" s="1" t="n"/>
      <c r="AA50" s="1" t="n"/>
      <c r="AB50" s="1" t="n"/>
    </row>
    <row r="51" ht="22.5" customHeight="1">
      <c r="A51" s="18" t="n"/>
      <c r="B51" s="18" t="n"/>
      <c r="C51" s="18" t="n"/>
      <c r="D51" s="18" t="n"/>
      <c r="E51" s="18" t="n"/>
      <c r="F51" s="18" t="n"/>
      <c r="G51" s="18" t="n"/>
      <c r="H51" s="18" t="n"/>
      <c r="I51" s="1" t="n"/>
      <c r="J51" s="1" t="n"/>
      <c r="K51" s="1" t="n"/>
      <c r="L51" s="1" t="n"/>
      <c r="M51" s="1" t="n"/>
      <c r="N51" s="1" t="n"/>
      <c r="O51" s="1" t="n"/>
      <c r="P51" s="1" t="n"/>
      <c r="Q51" s="1" t="n"/>
      <c r="R51" s="1" t="n"/>
      <c r="S51" s="1" t="n"/>
      <c r="T51" s="1" t="n"/>
      <c r="U51" s="1" t="n"/>
      <c r="V51" s="1" t="n"/>
      <c r="W51" s="1" t="n"/>
      <c r="X51" s="1" t="n"/>
      <c r="Y51" s="1" t="n"/>
      <c r="Z51" s="1" t="n"/>
      <c r="AA51" s="1" t="n"/>
      <c r="AB51" s="1" t="n"/>
    </row>
    <row r="52" ht="22.5" customHeight="1">
      <c r="A52" s="18" t="n"/>
      <c r="B52" s="18" t="n"/>
      <c r="C52" s="18" t="n"/>
      <c r="D52" s="18" t="n"/>
      <c r="E52" s="18" t="n"/>
      <c r="F52" s="18" t="n"/>
      <c r="G52" s="18" t="n"/>
      <c r="H52" s="18" t="n"/>
      <c r="I52" s="1" t="n"/>
      <c r="J52" s="1" t="n"/>
      <c r="K52" s="1" t="n"/>
      <c r="L52" s="1" t="n"/>
      <c r="M52" s="1" t="n"/>
      <c r="N52" s="1" t="n"/>
      <c r="O52" s="1" t="n"/>
      <c r="P52" s="1" t="n"/>
      <c r="Q52" s="1" t="n"/>
      <c r="R52" s="1" t="n"/>
      <c r="S52" s="1" t="n"/>
      <c r="T52" s="1" t="n"/>
      <c r="U52" s="1" t="n"/>
      <c r="V52" s="1" t="n"/>
      <c r="W52" s="1" t="n"/>
      <c r="X52" s="1" t="n"/>
      <c r="Y52" s="1" t="n"/>
      <c r="Z52" s="1" t="n"/>
      <c r="AA52" s="1" t="n"/>
      <c r="AB52" s="1" t="n"/>
    </row>
    <row r="53" ht="22.5" customHeight="1">
      <c r="A53" s="18" t="n"/>
      <c r="B53" s="18" t="n"/>
      <c r="C53" s="18" t="n"/>
      <c r="D53" s="18" t="n"/>
      <c r="E53" s="18" t="n"/>
      <c r="F53" s="18" t="n"/>
      <c r="G53" s="18" t="n"/>
      <c r="H53" s="18" t="n"/>
      <c r="I53" s="1" t="n"/>
      <c r="J53" s="1" t="n"/>
      <c r="K53" s="1" t="n"/>
      <c r="L53" s="1" t="n"/>
      <c r="M53" s="1" t="n"/>
      <c r="N53" s="1" t="n"/>
      <c r="O53" s="1" t="n"/>
      <c r="P53" s="1" t="n"/>
      <c r="Q53" s="1" t="n"/>
      <c r="R53" s="1" t="n"/>
      <c r="S53" s="1" t="n"/>
      <c r="T53" s="1" t="n"/>
      <c r="U53" s="1" t="n"/>
      <c r="V53" s="1" t="n"/>
      <c r="W53" s="1" t="n"/>
      <c r="X53" s="1" t="n"/>
      <c r="Y53" s="1" t="n"/>
      <c r="Z53" s="1" t="n"/>
      <c r="AA53" s="1" t="n"/>
      <c r="AB53" s="1" t="n"/>
    </row>
    <row r="54" ht="22.5" customHeight="1">
      <c r="A54" s="18" t="n"/>
      <c r="B54" s="18" t="n"/>
      <c r="C54" s="18" t="n"/>
      <c r="D54" s="18" t="n"/>
      <c r="E54" s="18" t="n"/>
      <c r="F54" s="18" t="n"/>
      <c r="G54" s="18" t="n"/>
      <c r="H54" s="18" t="n"/>
      <c r="I54" s="1" t="n"/>
      <c r="J54" s="1" t="n"/>
      <c r="K54" s="1" t="n"/>
      <c r="L54" s="1" t="n"/>
      <c r="M54" s="1" t="n"/>
      <c r="N54" s="1" t="n"/>
      <c r="O54" s="1" t="n"/>
      <c r="P54" s="1" t="n"/>
      <c r="Q54" s="1" t="n"/>
      <c r="R54" s="1" t="n"/>
      <c r="S54" s="1" t="n"/>
      <c r="T54" s="1" t="n"/>
      <c r="U54" s="1" t="n"/>
      <c r="V54" s="1" t="n"/>
      <c r="W54" s="1" t="n"/>
      <c r="X54" s="1" t="n"/>
      <c r="Y54" s="1" t="n"/>
      <c r="Z54" s="1" t="n"/>
      <c r="AA54" s="1" t="n"/>
      <c r="AB54" s="1" t="n"/>
    </row>
    <row r="55" ht="22.5" customHeight="1">
      <c r="A55" s="18" t="n"/>
      <c r="B55" s="18" t="n"/>
      <c r="C55" s="18" t="n"/>
      <c r="D55" s="18" t="n"/>
      <c r="E55" s="18" t="n"/>
      <c r="F55" s="18" t="n"/>
      <c r="G55" s="18" t="n"/>
      <c r="H55" s="18" t="n"/>
      <c r="I55" s="1" t="n"/>
      <c r="J55" s="1" t="n"/>
      <c r="K55" s="1" t="n"/>
      <c r="L55" s="1" t="n"/>
      <c r="M55" s="1" t="n"/>
      <c r="N55" s="1" t="n"/>
      <c r="O55" s="1" t="n"/>
      <c r="P55" s="1" t="n"/>
      <c r="Q55" s="1" t="n"/>
      <c r="R55" s="1" t="n"/>
      <c r="S55" s="1" t="n"/>
      <c r="T55" s="1" t="n"/>
      <c r="U55" s="1" t="n"/>
      <c r="V55" s="1" t="n"/>
      <c r="W55" s="1" t="n"/>
      <c r="X55" s="1" t="n"/>
      <c r="Y55" s="1" t="n"/>
      <c r="Z55" s="1" t="n"/>
      <c r="AA55" s="1" t="n"/>
      <c r="AB55" s="1" t="n"/>
    </row>
    <row r="56" ht="22.5" customHeight="1">
      <c r="A56" s="18" t="n"/>
      <c r="B56" s="18" t="n"/>
      <c r="C56" s="18" t="n"/>
      <c r="D56" s="18" t="n"/>
      <c r="E56" s="18" t="n"/>
      <c r="F56" s="18" t="n"/>
      <c r="G56" s="18" t="n"/>
      <c r="H56" s="18" t="n"/>
      <c r="I56" s="1" t="n"/>
      <c r="J56" s="1" t="n"/>
      <c r="K56" s="1" t="n"/>
      <c r="L56" s="1" t="n"/>
      <c r="M56" s="1" t="n"/>
      <c r="N56" s="1" t="n"/>
      <c r="O56" s="1" t="n"/>
      <c r="P56" s="1" t="n"/>
      <c r="Q56" s="1" t="n"/>
      <c r="R56" s="1" t="n"/>
      <c r="S56" s="1" t="n"/>
      <c r="T56" s="1" t="n"/>
      <c r="U56" s="1" t="n"/>
      <c r="V56" s="1" t="n"/>
      <c r="W56" s="1" t="n"/>
      <c r="X56" s="1" t="n"/>
      <c r="Y56" s="1" t="n"/>
      <c r="Z56" s="1" t="n"/>
      <c r="AA56" s="1" t="n"/>
      <c r="AB56" s="1" t="n"/>
    </row>
    <row r="57" ht="22.5" customHeight="1">
      <c r="A57" s="18" t="n"/>
      <c r="B57" s="18" t="n"/>
      <c r="C57" s="18" t="n"/>
      <c r="D57" s="18" t="n"/>
      <c r="E57" s="18" t="n"/>
      <c r="F57" s="18" t="n"/>
      <c r="G57" s="18" t="n"/>
      <c r="H57" s="18" t="n"/>
      <c r="I57" s="1" t="n"/>
      <c r="J57" s="1" t="n"/>
      <c r="K57" s="1" t="n"/>
      <c r="L57" s="1" t="n"/>
      <c r="M57" s="1" t="n"/>
      <c r="N57" s="1" t="n"/>
      <c r="O57" s="1" t="n"/>
      <c r="P57" s="1" t="n"/>
      <c r="Q57" s="1" t="n"/>
      <c r="R57" s="1" t="n"/>
      <c r="S57" s="1" t="n"/>
      <c r="T57" s="1" t="n"/>
      <c r="U57" s="1" t="n"/>
      <c r="V57" s="1" t="n"/>
      <c r="W57" s="1" t="n"/>
      <c r="X57" s="1" t="n"/>
      <c r="Y57" s="1" t="n"/>
      <c r="Z57" s="1" t="n"/>
      <c r="AA57" s="1" t="n"/>
      <c r="AB57" s="1" t="n"/>
    </row>
    <row r="58" ht="22.5" customHeight="1">
      <c r="A58" s="18" t="n"/>
      <c r="B58" s="18" t="n"/>
      <c r="C58" s="18" t="n"/>
      <c r="D58" s="18" t="n"/>
      <c r="E58" s="18" t="n"/>
      <c r="F58" s="18" t="n"/>
      <c r="G58" s="18" t="n"/>
      <c r="H58" s="18" t="n"/>
      <c r="I58" s="1" t="n"/>
      <c r="J58" s="1" t="n"/>
      <c r="K58" s="1" t="n"/>
      <c r="L58" s="1" t="n"/>
      <c r="M58" s="1" t="n"/>
      <c r="N58" s="1" t="n"/>
      <c r="O58" s="1" t="n"/>
      <c r="P58" s="1" t="n"/>
      <c r="Q58" s="1" t="n"/>
      <c r="R58" s="1" t="n"/>
      <c r="S58" s="1" t="n"/>
      <c r="T58" s="1" t="n"/>
      <c r="U58" s="1" t="n"/>
      <c r="V58" s="1" t="n"/>
      <c r="W58" s="1" t="n"/>
      <c r="X58" s="1" t="n"/>
      <c r="Y58" s="1" t="n"/>
      <c r="Z58" s="1" t="n"/>
      <c r="AA58" s="1" t="n"/>
      <c r="AB58" s="1" t="n"/>
    </row>
    <row r="59" ht="22.5" customHeight="1">
      <c r="A59" s="18" t="n"/>
      <c r="B59" s="18" t="n"/>
      <c r="C59" s="18" t="n"/>
      <c r="D59" s="18" t="n"/>
      <c r="E59" s="18" t="n"/>
      <c r="F59" s="18" t="n"/>
      <c r="G59" s="18" t="n"/>
      <c r="H59" s="18" t="n"/>
      <c r="I59" s="1" t="n"/>
      <c r="J59" s="1" t="n"/>
      <c r="K59" s="1" t="n"/>
      <c r="L59" s="1" t="n"/>
      <c r="M59" s="1" t="n"/>
      <c r="N59" s="1" t="n"/>
      <c r="O59" s="1" t="n"/>
      <c r="P59" s="1" t="n"/>
      <c r="Q59" s="1" t="n"/>
      <c r="R59" s="1" t="n"/>
      <c r="S59" s="1" t="n"/>
      <c r="T59" s="1" t="n"/>
      <c r="U59" s="1" t="n"/>
      <c r="V59" s="1" t="n"/>
      <c r="W59" s="1" t="n"/>
      <c r="X59" s="1" t="n"/>
      <c r="Y59" s="1" t="n"/>
      <c r="Z59" s="1" t="n"/>
      <c r="AA59" s="1" t="n"/>
      <c r="AB59" s="1" t="n"/>
    </row>
    <row r="60" ht="22.5" customHeight="1">
      <c r="A60" s="18" t="n"/>
      <c r="B60" s="18" t="n"/>
      <c r="C60" s="18" t="n"/>
      <c r="D60" s="18" t="n"/>
      <c r="E60" s="18" t="n"/>
      <c r="F60" s="18" t="n"/>
      <c r="G60" s="18" t="n"/>
      <c r="H60" s="18" t="n"/>
      <c r="I60" s="1" t="n"/>
      <c r="J60" s="1" t="n"/>
      <c r="K60" s="1" t="n"/>
      <c r="L60" s="1" t="n"/>
      <c r="M60" s="1" t="n"/>
      <c r="N60" s="1" t="n"/>
      <c r="O60" s="1" t="n"/>
      <c r="P60" s="1" t="n"/>
      <c r="Q60" s="1" t="n"/>
      <c r="R60" s="1" t="n"/>
      <c r="S60" s="1" t="n"/>
      <c r="T60" s="1" t="n"/>
      <c r="U60" s="1" t="n"/>
      <c r="V60" s="1" t="n"/>
      <c r="W60" s="1" t="n"/>
      <c r="X60" s="1" t="n"/>
      <c r="Y60" s="1" t="n"/>
      <c r="Z60" s="1" t="n"/>
      <c r="AA60" s="1" t="n"/>
      <c r="AB60" s="1" t="n"/>
    </row>
    <row r="61" ht="22.5" customHeight="1">
      <c r="A61" s="18" t="n"/>
      <c r="B61" s="18" t="n"/>
      <c r="C61" s="18" t="n"/>
      <c r="D61" s="18" t="n"/>
      <c r="E61" s="18" t="n"/>
      <c r="F61" s="18" t="n"/>
      <c r="G61" s="18" t="n"/>
      <c r="H61" s="18" t="n"/>
      <c r="I61" s="1" t="n"/>
      <c r="J61" s="1" t="n"/>
      <c r="K61" s="1" t="n"/>
      <c r="L61" s="1" t="n"/>
      <c r="M61" s="1" t="n"/>
      <c r="N61" s="1" t="n"/>
      <c r="O61" s="1" t="n"/>
      <c r="P61" s="1" t="n"/>
      <c r="Q61" s="1" t="n"/>
      <c r="R61" s="1" t="n"/>
      <c r="S61" s="1" t="n"/>
      <c r="T61" s="1" t="n"/>
      <c r="U61" s="1" t="n"/>
      <c r="V61" s="1" t="n"/>
      <c r="W61" s="1" t="n"/>
      <c r="X61" s="1" t="n"/>
      <c r="Y61" s="1" t="n"/>
      <c r="Z61" s="1" t="n"/>
      <c r="AA61" s="1" t="n"/>
      <c r="AB61" s="1" t="n"/>
    </row>
    <row r="62" ht="22.5" customHeight="1">
      <c r="A62" s="18" t="n"/>
      <c r="B62" s="18" t="n"/>
      <c r="C62" s="18" t="n"/>
      <c r="D62" s="18" t="n"/>
      <c r="E62" s="18" t="n"/>
      <c r="F62" s="18" t="n"/>
      <c r="G62" s="18" t="n"/>
      <c r="H62" s="18" t="n"/>
      <c r="I62" s="1" t="n"/>
      <c r="J62" s="1" t="n"/>
      <c r="K62" s="1" t="n"/>
      <c r="L62" s="1" t="n"/>
      <c r="M62" s="1" t="n"/>
      <c r="N62" s="1" t="n"/>
      <c r="O62" s="1" t="n"/>
      <c r="P62" s="1" t="n"/>
      <c r="Q62" s="1" t="n"/>
      <c r="R62" s="1" t="n"/>
      <c r="S62" s="1" t="n"/>
      <c r="T62" s="1" t="n"/>
      <c r="U62" s="1" t="n"/>
      <c r="V62" s="1" t="n"/>
      <c r="W62" s="1" t="n"/>
      <c r="X62" s="1" t="n"/>
      <c r="Y62" s="1" t="n"/>
      <c r="Z62" s="1" t="n"/>
      <c r="AA62" s="1" t="n"/>
      <c r="AB62" s="1" t="n"/>
    </row>
    <row r="63" ht="22.5" customHeight="1">
      <c r="A63" s="18" t="n"/>
      <c r="B63" s="18" t="n"/>
      <c r="C63" s="18" t="n"/>
      <c r="D63" s="18" t="n"/>
      <c r="E63" s="18" t="n"/>
      <c r="F63" s="18" t="n"/>
      <c r="G63" s="18" t="n"/>
      <c r="H63" s="18" t="n"/>
      <c r="I63" s="1" t="n"/>
      <c r="J63" s="1" t="n"/>
      <c r="K63" s="1" t="n"/>
      <c r="L63" s="1" t="n"/>
      <c r="M63" s="1" t="n"/>
      <c r="N63" s="1" t="n"/>
      <c r="O63" s="1" t="n"/>
      <c r="P63" s="1" t="n"/>
      <c r="Q63" s="1" t="n"/>
      <c r="R63" s="1" t="n"/>
      <c r="S63" s="1" t="n"/>
      <c r="T63" s="1" t="n"/>
      <c r="U63" s="1" t="n"/>
      <c r="V63" s="1" t="n"/>
      <c r="W63" s="1" t="n"/>
      <c r="X63" s="1" t="n"/>
      <c r="Y63" s="1" t="n"/>
      <c r="Z63" s="1" t="n"/>
      <c r="AA63" s="1" t="n"/>
      <c r="AB63" s="1" t="n"/>
    </row>
    <row r="64" ht="22.5" customHeight="1">
      <c r="A64" s="18" t="n"/>
      <c r="B64" s="18" t="n"/>
      <c r="C64" s="18" t="n"/>
      <c r="D64" s="18" t="n"/>
      <c r="E64" s="18" t="n"/>
      <c r="F64" s="18" t="n"/>
      <c r="G64" s="18" t="n"/>
      <c r="H64" s="18" t="n"/>
      <c r="I64" s="1" t="n"/>
      <c r="J64" s="1" t="n"/>
      <c r="K64" s="1" t="n"/>
      <c r="L64" s="1" t="n"/>
      <c r="M64" s="1" t="n"/>
      <c r="N64" s="1" t="n"/>
      <c r="O64" s="1" t="n"/>
      <c r="P64" s="1" t="n"/>
      <c r="Q64" s="1" t="n"/>
      <c r="R64" s="1" t="n"/>
      <c r="S64" s="1" t="n"/>
      <c r="T64" s="1" t="n"/>
      <c r="U64" s="1" t="n"/>
      <c r="V64" s="1" t="n"/>
      <c r="W64" s="1" t="n"/>
      <c r="X64" s="1" t="n"/>
      <c r="Y64" s="1" t="n"/>
      <c r="Z64" s="1" t="n"/>
      <c r="AA64" s="1" t="n"/>
      <c r="AB64" s="1" t="n"/>
    </row>
    <row r="65" ht="22.5" customHeight="1">
      <c r="A65" s="18" t="n"/>
      <c r="B65" s="18" t="n"/>
      <c r="C65" s="18" t="n"/>
      <c r="D65" s="18" t="n"/>
      <c r="E65" s="18" t="n"/>
      <c r="F65" s="18" t="n"/>
      <c r="G65" s="18" t="n"/>
      <c r="H65" s="18" t="n"/>
      <c r="I65" s="1" t="n"/>
      <c r="J65" s="1" t="n"/>
      <c r="K65" s="1" t="n"/>
      <c r="L65" s="1" t="n"/>
      <c r="M65" s="1" t="n"/>
      <c r="N65" s="1" t="n"/>
      <c r="O65" s="1" t="n"/>
      <c r="P65" s="1" t="n"/>
      <c r="Q65" s="1" t="n"/>
      <c r="R65" s="1" t="n"/>
      <c r="S65" s="1" t="n"/>
      <c r="T65" s="1" t="n"/>
      <c r="U65" s="1" t="n"/>
      <c r="V65" s="1" t="n"/>
      <c r="W65" s="1" t="n"/>
      <c r="X65" s="1" t="n"/>
      <c r="Y65" s="1" t="n"/>
      <c r="Z65" s="1" t="n"/>
      <c r="AA65" s="1" t="n"/>
      <c r="AB65" s="1" t="n"/>
    </row>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autoFilter ref="A5:H1000"/>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1000"/>
  <sheetViews>
    <sheetView showGridLines="0" workbookViewId="0">
      <pane ySplit="5" topLeftCell="A6" activePane="bottomLeft" state="frozen"/>
      <selection pane="bottomLeft" activeCell="A1" sqref="A1"/>
    </sheetView>
  </sheetViews>
  <sheetFormatPr baseColWidth="8" defaultRowHeight="15"/>
  <cols>
    <col width="33.97" customWidth="1" min="1" max="1"/>
    <col width="38.02" customWidth="1" min="2" max="2"/>
    <col width="16.04" customWidth="1" min="3" max="3"/>
    <col width="13.01" customWidth="1" min="4" max="4"/>
    <col width="13.01" customWidth="1" min="5" max="5"/>
    <col width="16.04" customWidth="1" min="6" max="6"/>
    <col width="18.06" customWidth="1" min="7" max="7"/>
    <col width="16.04" customWidth="1" min="8" max="8"/>
    <col width="14.02" customWidth="1" min="9" max="9"/>
    <col width="24" customWidth="1" min="10" max="10"/>
    <col width="8.59" customWidth="1" min="11" max="11"/>
    <col width="8.59" customWidth="1" min="12" max="12"/>
    <col width="8.59" customWidth="1" min="13" max="13"/>
    <col width="8.59" customWidth="1" min="14" max="14"/>
    <col width="8.59" customWidth="1" min="15" max="15"/>
    <col width="8.59" customWidth="1" min="16" max="16"/>
    <col width="8.59" customWidth="1" min="17" max="17"/>
    <col width="8.59" customWidth="1" min="18" max="18"/>
    <col width="8.59" customWidth="1" min="19" max="19"/>
    <col width="8.59" customWidth="1" min="20" max="20"/>
    <col width="8.59" customWidth="1" min="21" max="21"/>
    <col width="8.59" customWidth="1" min="22" max="22"/>
    <col width="8.59" customWidth="1" min="23" max="23"/>
    <col width="8.59" customWidth="1" min="24" max="24"/>
    <col width="8.59" customWidth="1" min="25" max="25"/>
    <col width="8.59" customWidth="1" min="26" max="26"/>
    <col width="8.59" customWidth="1" min="27" max="27"/>
    <col width="8.59" customWidth="1" min="28" max="28"/>
    <col width="8.59" customWidth="1" min="29" max="29"/>
    <col width="8.59" customWidth="1" min="30" max="30"/>
  </cols>
  <sheetData>
    <row r="1" ht="22.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row>
    <row r="2" ht="22.5" customHeight="1">
      <c r="A2" s="2" t="inlineStr">
        <is>
          <t>Ingredientes das favoritas</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row>
    <row r="3" ht="22.5" customHeight="1">
      <c r="A3" s="1" t="inlineStr">
        <is>
          <t>Quantidade sempre na unidade-base do alimento.</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row>
    <row r="4" ht="22.5" customHeight="1">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row>
    <row r="5" ht="39.75" customHeight="1">
      <c r="A5" s="37" t="inlineStr">
        <is>
          <t>Favorita</t>
        </is>
      </c>
      <c r="B5" s="37" t="inlineStr">
        <is>
          <t>Alimento</t>
        </is>
      </c>
      <c r="C5" s="37" t="inlineStr">
        <is>
          <t>Quantidade</t>
        </is>
      </c>
      <c r="D5" s="37" t="inlineStr">
        <is>
          <t>Unidade</t>
        </is>
      </c>
      <c r="E5" s="37" t="inlineStr">
        <is>
          <t>kcal</t>
        </is>
      </c>
      <c r="F5" s="37" t="inlineStr">
        <is>
          <t>Proteína g</t>
        </is>
      </c>
      <c r="G5" s="37" t="inlineStr">
        <is>
          <t>Carboidrato g</t>
        </is>
      </c>
      <c r="H5" s="37" t="inlineStr">
        <is>
          <t>Gordura g</t>
        </is>
      </c>
      <c r="I5" s="37" t="inlineStr">
        <is>
          <t>Fibra g</t>
        </is>
      </c>
      <c r="J5" s="37" t="inlineStr">
        <is>
          <t>Conferência</t>
        </is>
      </c>
      <c r="K5" s="1" t="n"/>
      <c r="L5" s="1" t="n"/>
      <c r="M5" s="1" t="n"/>
      <c r="N5" s="1" t="n"/>
      <c r="O5" s="1" t="n"/>
      <c r="P5" s="1" t="n"/>
      <c r="Q5" s="1" t="n"/>
      <c r="R5" s="1" t="n"/>
      <c r="S5" s="1" t="n"/>
      <c r="T5" s="1" t="n"/>
      <c r="U5" s="1" t="n"/>
      <c r="V5" s="1" t="n"/>
      <c r="W5" s="1" t="n"/>
      <c r="X5" s="1" t="n"/>
      <c r="Y5" s="1" t="n"/>
      <c r="Z5" s="1" t="n"/>
      <c r="AA5" s="1" t="n"/>
      <c r="AB5" s="1" t="n"/>
      <c r="AC5" s="1" t="n"/>
      <c r="AD5" s="1" t="n"/>
    </row>
    <row r="6" ht="22.5" customHeight="1">
      <c r="A6" s="18" t="n"/>
      <c r="B6" s="18" t="n"/>
      <c r="C6" s="18" t="n"/>
      <c r="D6" s="18" t="n"/>
      <c r="E6" s="18" t="n"/>
      <c r="F6" s="18" t="n"/>
      <c r="G6" s="18" t="n"/>
      <c r="H6" s="18" t="n"/>
      <c r="I6" s="18" t="n"/>
      <c r="J6" s="18" t="n"/>
      <c r="K6" s="1" t="n"/>
      <c r="L6" s="1" t="n"/>
      <c r="M6" s="1" t="n"/>
      <c r="N6" s="1" t="n"/>
      <c r="O6" s="1" t="n"/>
      <c r="P6" s="1" t="n"/>
      <c r="Q6" s="1" t="n"/>
      <c r="R6" s="1" t="n"/>
      <c r="S6" s="1" t="n"/>
      <c r="T6" s="1" t="n"/>
      <c r="U6" s="1" t="n"/>
      <c r="V6" s="1" t="n"/>
      <c r="W6" s="1" t="n"/>
      <c r="X6" s="1" t="n"/>
      <c r="Y6" s="1" t="n"/>
      <c r="Z6" s="1" t="n"/>
      <c r="AA6" s="1" t="n"/>
      <c r="AB6" s="1" t="n"/>
      <c r="AC6" s="1" t="n"/>
      <c r="AD6" s="1" t="n"/>
    </row>
    <row r="7" ht="22.5" customHeight="1">
      <c r="A7" s="18" t="n"/>
      <c r="B7" s="18" t="n"/>
      <c r="C7" s="18" t="n"/>
      <c r="D7" s="18" t="n"/>
      <c r="E7" s="18" t="n"/>
      <c r="F7" s="18" t="n"/>
      <c r="G7" s="18" t="n"/>
      <c r="H7" s="18" t="n"/>
      <c r="I7" s="18" t="n"/>
      <c r="J7" s="18" t="n"/>
      <c r="K7" s="1" t="n"/>
      <c r="L7" s="1" t="n"/>
      <c r="M7" s="1" t="n"/>
      <c r="N7" s="1" t="n"/>
      <c r="O7" s="1" t="n"/>
      <c r="P7" s="1" t="n"/>
      <c r="Q7" s="1" t="n"/>
      <c r="R7" s="1" t="n"/>
      <c r="S7" s="1" t="n"/>
      <c r="T7" s="1" t="n"/>
      <c r="U7" s="1" t="n"/>
      <c r="V7" s="1" t="n"/>
      <c r="W7" s="1" t="n"/>
      <c r="X7" s="1" t="n"/>
      <c r="Y7" s="1" t="n"/>
      <c r="Z7" s="1" t="n"/>
      <c r="AA7" s="1" t="n"/>
      <c r="AB7" s="1" t="n"/>
      <c r="AC7" s="1" t="n"/>
      <c r="AD7" s="1" t="n"/>
    </row>
    <row r="8" ht="22.5" customHeight="1">
      <c r="A8" s="18" t="n"/>
      <c r="B8" s="18" t="n"/>
      <c r="C8" s="18" t="n"/>
      <c r="D8" s="18" t="n"/>
      <c r="E8" s="18" t="n"/>
      <c r="F8" s="18" t="n"/>
      <c r="G8" s="18" t="n"/>
      <c r="H8" s="18" t="n"/>
      <c r="I8" s="18" t="n"/>
      <c r="J8" s="18" t="n"/>
      <c r="K8" s="1" t="n"/>
      <c r="L8" s="1" t="n"/>
      <c r="M8" s="1" t="n"/>
      <c r="N8" s="1" t="n"/>
      <c r="O8" s="1" t="n"/>
      <c r="P8" s="1" t="n"/>
      <c r="Q8" s="1" t="n"/>
      <c r="R8" s="1" t="n"/>
      <c r="S8" s="1" t="n"/>
      <c r="T8" s="1" t="n"/>
      <c r="U8" s="1" t="n"/>
      <c r="V8" s="1" t="n"/>
      <c r="W8" s="1" t="n"/>
      <c r="X8" s="1" t="n"/>
      <c r="Y8" s="1" t="n"/>
      <c r="Z8" s="1" t="n"/>
      <c r="AA8" s="1" t="n"/>
      <c r="AB8" s="1" t="n"/>
      <c r="AC8" s="1" t="n"/>
      <c r="AD8" s="1" t="n"/>
    </row>
    <row r="9" ht="22.5" customHeight="1">
      <c r="A9" s="18" t="n"/>
      <c r="B9" s="18" t="n"/>
      <c r="C9" s="18" t="n"/>
      <c r="D9" s="18" t="n"/>
      <c r="E9" s="18" t="n"/>
      <c r="F9" s="18" t="n"/>
      <c r="G9" s="18" t="n"/>
      <c r="H9" s="18" t="n"/>
      <c r="I9" s="18" t="n"/>
      <c r="J9" s="18" t="n"/>
      <c r="K9" s="1" t="n"/>
      <c r="L9" s="1" t="n"/>
      <c r="M9" s="1" t="n"/>
      <c r="N9" s="1" t="n"/>
      <c r="O9" s="1" t="n"/>
      <c r="P9" s="1" t="n"/>
      <c r="Q9" s="1" t="n"/>
      <c r="R9" s="1" t="n"/>
      <c r="S9" s="1" t="n"/>
      <c r="T9" s="1" t="n"/>
      <c r="U9" s="1" t="n"/>
      <c r="V9" s="1" t="n"/>
      <c r="W9" s="1" t="n"/>
      <c r="X9" s="1" t="n"/>
      <c r="Y9" s="1" t="n"/>
      <c r="Z9" s="1" t="n"/>
      <c r="AA9" s="1" t="n"/>
      <c r="AB9" s="1" t="n"/>
      <c r="AC9" s="1" t="n"/>
      <c r="AD9" s="1" t="n"/>
    </row>
    <row r="10" ht="22.5" customHeight="1">
      <c r="A10" s="18" t="n"/>
      <c r="B10" s="18" t="n"/>
      <c r="C10" s="18" t="n"/>
      <c r="D10" s="18" t="n"/>
      <c r="E10" s="18" t="n"/>
      <c r="F10" s="18" t="n"/>
      <c r="G10" s="18" t="n"/>
      <c r="H10" s="18" t="n"/>
      <c r="I10" s="18" t="n"/>
      <c r="J10" s="18" t="n"/>
      <c r="K10" s="1" t="n"/>
      <c r="L10" s="1" t="n"/>
      <c r="M10" s="1" t="n"/>
      <c r="N10" s="1" t="n"/>
      <c r="O10" s="1" t="n"/>
      <c r="P10" s="1" t="n"/>
      <c r="Q10" s="1" t="n"/>
      <c r="R10" s="1" t="n"/>
      <c r="S10" s="1" t="n"/>
      <c r="T10" s="1" t="n"/>
      <c r="U10" s="1" t="n"/>
      <c r="V10" s="1" t="n"/>
      <c r="W10" s="1" t="n"/>
      <c r="X10" s="1" t="n"/>
      <c r="Y10" s="1" t="n"/>
      <c r="Z10" s="1" t="n"/>
      <c r="AA10" s="1" t="n"/>
      <c r="AB10" s="1" t="n"/>
      <c r="AC10" s="1" t="n"/>
      <c r="AD10" s="1" t="n"/>
    </row>
    <row r="11" ht="22.5" customHeight="1">
      <c r="A11" s="18" t="n"/>
      <c r="B11" s="18" t="n"/>
      <c r="C11" s="18" t="n"/>
      <c r="D11" s="18" t="n"/>
      <c r="E11" s="18" t="n"/>
      <c r="F11" s="18" t="n"/>
      <c r="G11" s="18" t="n"/>
      <c r="H11" s="18" t="n"/>
      <c r="I11" s="18" t="n"/>
      <c r="J11" s="18" t="n"/>
      <c r="K11" s="1" t="n"/>
      <c r="L11" s="1" t="n"/>
      <c r="M11" s="1" t="n"/>
      <c r="N11" s="1" t="n"/>
      <c r="O11" s="1" t="n"/>
      <c r="P11" s="1" t="n"/>
      <c r="Q11" s="1" t="n"/>
      <c r="R11" s="1" t="n"/>
      <c r="S11" s="1" t="n"/>
      <c r="T11" s="1" t="n"/>
      <c r="U11" s="1" t="n"/>
      <c r="V11" s="1" t="n"/>
      <c r="W11" s="1" t="n"/>
      <c r="X11" s="1" t="n"/>
      <c r="Y11" s="1" t="n"/>
      <c r="Z11" s="1" t="n"/>
      <c r="AA11" s="1" t="n"/>
      <c r="AB11" s="1" t="n"/>
      <c r="AC11" s="1" t="n"/>
      <c r="AD11" s="1" t="n"/>
    </row>
    <row r="12" ht="22.5" customHeight="1">
      <c r="A12" s="18" t="n"/>
      <c r="B12" s="18" t="n"/>
      <c r="C12" s="18" t="n"/>
      <c r="D12" s="18" t="n"/>
      <c r="E12" s="18" t="n"/>
      <c r="F12" s="18" t="n"/>
      <c r="G12" s="18" t="n"/>
      <c r="H12" s="18" t="n"/>
      <c r="I12" s="18" t="n"/>
      <c r="J12" s="18" t="n"/>
      <c r="K12" s="1" t="n"/>
      <c r="L12" s="1" t="n"/>
      <c r="M12" s="1" t="n"/>
      <c r="N12" s="1" t="n"/>
      <c r="O12" s="1" t="n"/>
      <c r="P12" s="1" t="n"/>
      <c r="Q12" s="1" t="n"/>
      <c r="R12" s="1" t="n"/>
      <c r="S12" s="1" t="n"/>
      <c r="T12" s="1" t="n"/>
      <c r="U12" s="1" t="n"/>
      <c r="V12" s="1" t="n"/>
      <c r="W12" s="1" t="n"/>
      <c r="X12" s="1" t="n"/>
      <c r="Y12" s="1" t="n"/>
      <c r="Z12" s="1" t="n"/>
      <c r="AA12" s="1" t="n"/>
      <c r="AB12" s="1" t="n"/>
      <c r="AC12" s="1" t="n"/>
      <c r="AD12" s="1" t="n"/>
    </row>
    <row r="13" ht="22.5" customHeight="1">
      <c r="A13" s="18" t="n"/>
      <c r="B13" s="18" t="n"/>
      <c r="C13" s="18" t="n"/>
      <c r="D13" s="18" t="n"/>
      <c r="E13" s="18" t="n"/>
      <c r="F13" s="18" t="n"/>
      <c r="G13" s="18" t="n"/>
      <c r="H13" s="18" t="n"/>
      <c r="I13" s="18" t="n"/>
      <c r="J13" s="18" t="n"/>
      <c r="K13" s="1" t="n"/>
      <c r="L13" s="1" t="n"/>
      <c r="M13" s="1" t="n"/>
      <c r="N13" s="1" t="n"/>
      <c r="O13" s="1" t="n"/>
      <c r="P13" s="1" t="n"/>
      <c r="Q13" s="1" t="n"/>
      <c r="R13" s="1" t="n"/>
      <c r="S13" s="1" t="n"/>
      <c r="T13" s="1" t="n"/>
      <c r="U13" s="1" t="n"/>
      <c r="V13" s="1" t="n"/>
      <c r="W13" s="1" t="n"/>
      <c r="X13" s="1" t="n"/>
      <c r="Y13" s="1" t="n"/>
      <c r="Z13" s="1" t="n"/>
      <c r="AA13" s="1" t="n"/>
      <c r="AB13" s="1" t="n"/>
      <c r="AC13" s="1" t="n"/>
      <c r="AD13" s="1" t="n"/>
    </row>
    <row r="14" ht="22.5" customHeight="1">
      <c r="A14" s="18" t="n"/>
      <c r="B14" s="18" t="n"/>
      <c r="C14" s="18" t="n"/>
      <c r="D14" s="18" t="n"/>
      <c r="E14" s="18" t="n"/>
      <c r="F14" s="18" t="n"/>
      <c r="G14" s="18" t="n"/>
      <c r="H14" s="18" t="n"/>
      <c r="I14" s="18" t="n"/>
      <c r="J14" s="18" t="n"/>
      <c r="K14" s="1" t="n"/>
      <c r="L14" s="1" t="n"/>
      <c r="M14" s="1" t="n"/>
      <c r="N14" s="1" t="n"/>
      <c r="O14" s="1" t="n"/>
      <c r="P14" s="1" t="n"/>
      <c r="Q14" s="1" t="n"/>
      <c r="R14" s="1" t="n"/>
      <c r="S14" s="1" t="n"/>
      <c r="T14" s="1" t="n"/>
      <c r="U14" s="1" t="n"/>
      <c r="V14" s="1" t="n"/>
      <c r="W14" s="1" t="n"/>
      <c r="X14" s="1" t="n"/>
      <c r="Y14" s="1" t="n"/>
      <c r="Z14" s="1" t="n"/>
      <c r="AA14" s="1" t="n"/>
      <c r="AB14" s="1" t="n"/>
      <c r="AC14" s="1" t="n"/>
      <c r="AD14" s="1" t="n"/>
    </row>
    <row r="15" ht="22.5" customHeight="1">
      <c r="A15" s="18" t="n"/>
      <c r="B15" s="18" t="n"/>
      <c r="C15" s="18" t="n"/>
      <c r="D15" s="18" t="n"/>
      <c r="E15" s="18" t="n"/>
      <c r="F15" s="18" t="n"/>
      <c r="G15" s="18" t="n"/>
      <c r="H15" s="18" t="n"/>
      <c r="I15" s="18" t="n"/>
      <c r="J15" s="18" t="n"/>
      <c r="K15" s="1" t="n"/>
      <c r="L15" s="1" t="n"/>
      <c r="M15" s="1" t="n"/>
      <c r="N15" s="1" t="n"/>
      <c r="O15" s="1" t="n"/>
      <c r="P15" s="1" t="n"/>
      <c r="Q15" s="1" t="n"/>
      <c r="R15" s="1" t="n"/>
      <c r="S15" s="1" t="n"/>
      <c r="T15" s="1" t="n"/>
      <c r="U15" s="1" t="n"/>
      <c r="V15" s="1" t="n"/>
      <c r="W15" s="1" t="n"/>
      <c r="X15" s="1" t="n"/>
      <c r="Y15" s="1" t="n"/>
      <c r="Z15" s="1" t="n"/>
      <c r="AA15" s="1" t="n"/>
      <c r="AB15" s="1" t="n"/>
      <c r="AC15" s="1" t="n"/>
      <c r="AD15" s="1" t="n"/>
    </row>
    <row r="16" ht="22.5" customHeight="1">
      <c r="A16" s="18" t="n"/>
      <c r="B16" s="18" t="n"/>
      <c r="C16" s="18" t="n"/>
      <c r="D16" s="18" t="n"/>
      <c r="E16" s="18" t="n"/>
      <c r="F16" s="18" t="n"/>
      <c r="G16" s="18" t="n"/>
      <c r="H16" s="18" t="n"/>
      <c r="I16" s="18" t="n"/>
      <c r="J16" s="18" t="n"/>
      <c r="K16" s="1" t="n"/>
      <c r="L16" s="1" t="n"/>
      <c r="M16" s="1" t="n"/>
      <c r="N16" s="1" t="n"/>
      <c r="O16" s="1" t="n"/>
      <c r="P16" s="1" t="n"/>
      <c r="Q16" s="1" t="n"/>
      <c r="R16" s="1" t="n"/>
      <c r="S16" s="1" t="n"/>
      <c r="T16" s="1" t="n"/>
      <c r="U16" s="1" t="n"/>
      <c r="V16" s="1" t="n"/>
      <c r="W16" s="1" t="n"/>
      <c r="X16" s="1" t="n"/>
      <c r="Y16" s="1" t="n"/>
      <c r="Z16" s="1" t="n"/>
      <c r="AA16" s="1" t="n"/>
      <c r="AB16" s="1" t="n"/>
      <c r="AC16" s="1" t="n"/>
      <c r="AD16" s="1" t="n"/>
    </row>
    <row r="17" ht="22.5" customHeight="1">
      <c r="A17" s="18" t="n"/>
      <c r="B17" s="18" t="n"/>
      <c r="C17" s="18" t="n"/>
      <c r="D17" s="18" t="n"/>
      <c r="E17" s="18" t="n"/>
      <c r="F17" s="18" t="n"/>
      <c r="G17" s="18" t="n"/>
      <c r="H17" s="18" t="n"/>
      <c r="I17" s="18" t="n"/>
      <c r="J17" s="18" t="n"/>
      <c r="K17" s="1" t="n"/>
      <c r="L17" s="1" t="n"/>
      <c r="M17" s="1" t="n"/>
      <c r="N17" s="1" t="n"/>
      <c r="O17" s="1" t="n"/>
      <c r="P17" s="1" t="n"/>
      <c r="Q17" s="1" t="n"/>
      <c r="R17" s="1" t="n"/>
      <c r="S17" s="1" t="n"/>
      <c r="T17" s="1" t="n"/>
      <c r="U17" s="1" t="n"/>
      <c r="V17" s="1" t="n"/>
      <c r="W17" s="1" t="n"/>
      <c r="X17" s="1" t="n"/>
      <c r="Y17" s="1" t="n"/>
      <c r="Z17" s="1" t="n"/>
      <c r="AA17" s="1" t="n"/>
      <c r="AB17" s="1" t="n"/>
      <c r="AC17" s="1" t="n"/>
      <c r="AD17" s="1" t="n"/>
    </row>
    <row r="18" ht="22.5" customHeight="1">
      <c r="A18" s="18" t="n"/>
      <c r="B18" s="18" t="n"/>
      <c r="C18" s="18" t="n"/>
      <c r="D18" s="18" t="n"/>
      <c r="E18" s="18" t="n"/>
      <c r="F18" s="18" t="n"/>
      <c r="G18" s="18" t="n"/>
      <c r="H18" s="18" t="n"/>
      <c r="I18" s="18" t="n"/>
      <c r="J18" s="18" t="n"/>
      <c r="K18" s="1" t="n"/>
      <c r="L18" s="1" t="n"/>
      <c r="M18" s="1" t="n"/>
      <c r="N18" s="1" t="n"/>
      <c r="O18" s="1" t="n"/>
      <c r="P18" s="1" t="n"/>
      <c r="Q18" s="1" t="n"/>
      <c r="R18" s="1" t="n"/>
      <c r="S18" s="1" t="n"/>
      <c r="T18" s="1" t="n"/>
      <c r="U18" s="1" t="n"/>
      <c r="V18" s="1" t="n"/>
      <c r="W18" s="1" t="n"/>
      <c r="X18" s="1" t="n"/>
      <c r="Y18" s="1" t="n"/>
      <c r="Z18" s="1" t="n"/>
      <c r="AA18" s="1" t="n"/>
      <c r="AB18" s="1" t="n"/>
      <c r="AC18" s="1" t="n"/>
      <c r="AD18" s="1" t="n"/>
    </row>
    <row r="19" ht="22.5" customHeight="1">
      <c r="A19" s="18" t="n"/>
      <c r="B19" s="18" t="n"/>
      <c r="C19" s="18" t="n"/>
      <c r="D19" s="18" t="n"/>
      <c r="E19" s="18" t="n"/>
      <c r="F19" s="18" t="n"/>
      <c r="G19" s="18" t="n"/>
      <c r="H19" s="18" t="n"/>
      <c r="I19" s="18" t="n"/>
      <c r="J19" s="18" t="n"/>
      <c r="K19" s="1" t="n"/>
      <c r="L19" s="1" t="n"/>
      <c r="M19" s="1" t="n"/>
      <c r="N19" s="1" t="n"/>
      <c r="O19" s="1" t="n"/>
      <c r="P19" s="1" t="n"/>
      <c r="Q19" s="1" t="n"/>
      <c r="R19" s="1" t="n"/>
      <c r="S19" s="1" t="n"/>
      <c r="T19" s="1" t="n"/>
      <c r="U19" s="1" t="n"/>
      <c r="V19" s="1" t="n"/>
      <c r="W19" s="1" t="n"/>
      <c r="X19" s="1" t="n"/>
      <c r="Y19" s="1" t="n"/>
      <c r="Z19" s="1" t="n"/>
      <c r="AA19" s="1" t="n"/>
      <c r="AB19" s="1" t="n"/>
      <c r="AC19" s="1" t="n"/>
      <c r="AD19" s="1" t="n"/>
    </row>
    <row r="20" ht="22.5" customHeight="1">
      <c r="A20" s="18" t="n"/>
      <c r="B20" s="18" t="n"/>
      <c r="C20" s="18" t="n"/>
      <c r="D20" s="18" t="n"/>
      <c r="E20" s="18" t="n"/>
      <c r="F20" s="18" t="n"/>
      <c r="G20" s="18" t="n"/>
      <c r="H20" s="18" t="n"/>
      <c r="I20" s="18" t="n"/>
      <c r="J20" s="18" t="n"/>
      <c r="K20" s="1" t="n"/>
      <c r="L20" s="1" t="n"/>
      <c r="M20" s="1" t="n"/>
      <c r="N20" s="1" t="n"/>
      <c r="O20" s="1" t="n"/>
      <c r="P20" s="1" t="n"/>
      <c r="Q20" s="1" t="n"/>
      <c r="R20" s="1" t="n"/>
      <c r="S20" s="1" t="n"/>
      <c r="T20" s="1" t="n"/>
      <c r="U20" s="1" t="n"/>
      <c r="V20" s="1" t="n"/>
      <c r="W20" s="1" t="n"/>
      <c r="X20" s="1" t="n"/>
      <c r="Y20" s="1" t="n"/>
      <c r="Z20" s="1" t="n"/>
      <c r="AA20" s="1" t="n"/>
      <c r="AB20" s="1" t="n"/>
      <c r="AC20" s="1" t="n"/>
      <c r="AD20" s="1" t="n"/>
    </row>
    <row r="21" ht="22.5" customHeight="1">
      <c r="A21" s="18" t="n"/>
      <c r="B21" s="18" t="n"/>
      <c r="C21" s="18" t="n"/>
      <c r="D21" s="18" t="n"/>
      <c r="E21" s="18" t="n"/>
      <c r="F21" s="18" t="n"/>
      <c r="G21" s="18" t="n"/>
      <c r="H21" s="18" t="n"/>
      <c r="I21" s="18" t="n"/>
      <c r="J21" s="18" t="n"/>
      <c r="K21" s="1" t="n"/>
      <c r="L21" s="1" t="n"/>
      <c r="M21" s="1" t="n"/>
      <c r="N21" s="1" t="n"/>
      <c r="O21" s="1" t="n"/>
      <c r="P21" s="1" t="n"/>
      <c r="Q21" s="1" t="n"/>
      <c r="R21" s="1" t="n"/>
      <c r="S21" s="1" t="n"/>
      <c r="T21" s="1" t="n"/>
      <c r="U21" s="1" t="n"/>
      <c r="V21" s="1" t="n"/>
      <c r="W21" s="1" t="n"/>
      <c r="X21" s="1" t="n"/>
      <c r="Y21" s="1" t="n"/>
      <c r="Z21" s="1" t="n"/>
      <c r="AA21" s="1" t="n"/>
      <c r="AB21" s="1" t="n"/>
      <c r="AC21" s="1" t="n"/>
      <c r="AD21" s="1" t="n"/>
    </row>
    <row r="22" ht="22.5" customHeight="1">
      <c r="A22" s="18" t="n"/>
      <c r="B22" s="18" t="n"/>
      <c r="C22" s="18" t="n"/>
      <c r="D22" s="18" t="n"/>
      <c r="E22" s="18" t="n"/>
      <c r="F22" s="18" t="n"/>
      <c r="G22" s="18" t="n"/>
      <c r="H22" s="18" t="n"/>
      <c r="I22" s="18" t="n"/>
      <c r="J22" s="18" t="n"/>
      <c r="K22" s="1" t="n"/>
      <c r="L22" s="1" t="n"/>
      <c r="M22" s="1" t="n"/>
      <c r="N22" s="1" t="n"/>
      <c r="O22" s="1" t="n"/>
      <c r="P22" s="1" t="n"/>
      <c r="Q22" s="1" t="n"/>
      <c r="R22" s="1" t="n"/>
      <c r="S22" s="1" t="n"/>
      <c r="T22" s="1" t="n"/>
      <c r="U22" s="1" t="n"/>
      <c r="V22" s="1" t="n"/>
      <c r="W22" s="1" t="n"/>
      <c r="X22" s="1" t="n"/>
      <c r="Y22" s="1" t="n"/>
      <c r="Z22" s="1" t="n"/>
      <c r="AA22" s="1" t="n"/>
      <c r="AB22" s="1" t="n"/>
      <c r="AC22" s="1" t="n"/>
      <c r="AD22" s="1" t="n"/>
    </row>
    <row r="23" ht="22.5" customHeight="1">
      <c r="A23" s="18" t="n"/>
      <c r="B23" s="18" t="n"/>
      <c r="C23" s="18" t="n"/>
      <c r="D23" s="18" t="n"/>
      <c r="E23" s="18" t="n"/>
      <c r="F23" s="18" t="n"/>
      <c r="G23" s="18" t="n"/>
      <c r="H23" s="18" t="n"/>
      <c r="I23" s="18" t="n"/>
      <c r="J23" s="18" t="n"/>
      <c r="K23" s="1" t="n"/>
      <c r="L23" s="1" t="n"/>
      <c r="M23" s="1" t="n"/>
      <c r="N23" s="1" t="n"/>
      <c r="O23" s="1" t="n"/>
      <c r="P23" s="1" t="n"/>
      <c r="Q23" s="1" t="n"/>
      <c r="R23" s="1" t="n"/>
      <c r="S23" s="1" t="n"/>
      <c r="T23" s="1" t="n"/>
      <c r="U23" s="1" t="n"/>
      <c r="V23" s="1" t="n"/>
      <c r="W23" s="1" t="n"/>
      <c r="X23" s="1" t="n"/>
      <c r="Y23" s="1" t="n"/>
      <c r="Z23" s="1" t="n"/>
      <c r="AA23" s="1" t="n"/>
      <c r="AB23" s="1" t="n"/>
      <c r="AC23" s="1" t="n"/>
      <c r="AD23" s="1" t="n"/>
    </row>
    <row r="24" ht="22.5" customHeight="1">
      <c r="A24" s="18" t="n"/>
      <c r="B24" s="18" t="n"/>
      <c r="C24" s="18" t="n"/>
      <c r="D24" s="18" t="n"/>
      <c r="E24" s="18" t="n"/>
      <c r="F24" s="18" t="n"/>
      <c r="G24" s="18" t="n"/>
      <c r="H24" s="18" t="n"/>
      <c r="I24" s="18" t="n"/>
      <c r="J24" s="18" t="n"/>
      <c r="K24" s="1" t="n"/>
      <c r="L24" s="1" t="n"/>
      <c r="M24" s="1" t="n"/>
      <c r="N24" s="1" t="n"/>
      <c r="O24" s="1" t="n"/>
      <c r="P24" s="1" t="n"/>
      <c r="Q24" s="1" t="n"/>
      <c r="R24" s="1" t="n"/>
      <c r="S24" s="1" t="n"/>
      <c r="T24" s="1" t="n"/>
      <c r="U24" s="1" t="n"/>
      <c r="V24" s="1" t="n"/>
      <c r="W24" s="1" t="n"/>
      <c r="X24" s="1" t="n"/>
      <c r="Y24" s="1" t="n"/>
      <c r="Z24" s="1" t="n"/>
      <c r="AA24" s="1" t="n"/>
      <c r="AB24" s="1" t="n"/>
      <c r="AC24" s="1" t="n"/>
      <c r="AD24" s="1" t="n"/>
    </row>
    <row r="25" ht="22.5" customHeight="1">
      <c r="A25" s="18" t="n"/>
      <c r="B25" s="18" t="n"/>
      <c r="C25" s="18" t="n"/>
      <c r="D25" s="18" t="n"/>
      <c r="E25" s="18" t="n"/>
      <c r="F25" s="18" t="n"/>
      <c r="G25" s="18" t="n"/>
      <c r="H25" s="18" t="n"/>
      <c r="I25" s="18" t="n"/>
      <c r="J25" s="18" t="n"/>
      <c r="K25" s="1" t="n"/>
      <c r="L25" s="1" t="n"/>
      <c r="M25" s="1" t="n"/>
      <c r="N25" s="1" t="n"/>
      <c r="O25" s="1" t="n"/>
      <c r="P25" s="1" t="n"/>
      <c r="Q25" s="1" t="n"/>
      <c r="R25" s="1" t="n"/>
      <c r="S25" s="1" t="n"/>
      <c r="T25" s="1" t="n"/>
      <c r="U25" s="1" t="n"/>
      <c r="V25" s="1" t="n"/>
      <c r="W25" s="1" t="n"/>
      <c r="X25" s="1" t="n"/>
      <c r="Y25" s="1" t="n"/>
      <c r="Z25" s="1" t="n"/>
      <c r="AA25" s="1" t="n"/>
      <c r="AB25" s="1" t="n"/>
      <c r="AC25" s="1" t="n"/>
      <c r="AD25" s="1" t="n"/>
    </row>
    <row r="26" ht="22.5" customHeight="1">
      <c r="A26" s="18" t="n"/>
      <c r="B26" s="18" t="n"/>
      <c r="C26" s="18" t="n"/>
      <c r="D26" s="18" t="n"/>
      <c r="E26" s="18" t="n"/>
      <c r="F26" s="18" t="n"/>
      <c r="G26" s="18" t="n"/>
      <c r="H26" s="18" t="n"/>
      <c r="I26" s="18" t="n"/>
      <c r="J26" s="18" t="n"/>
      <c r="K26" s="1" t="n"/>
      <c r="L26" s="1" t="n"/>
      <c r="M26" s="1" t="n"/>
      <c r="N26" s="1" t="n"/>
      <c r="O26" s="1" t="n"/>
      <c r="P26" s="1" t="n"/>
      <c r="Q26" s="1" t="n"/>
      <c r="R26" s="1" t="n"/>
      <c r="S26" s="1" t="n"/>
      <c r="T26" s="1" t="n"/>
      <c r="U26" s="1" t="n"/>
      <c r="V26" s="1" t="n"/>
      <c r="W26" s="1" t="n"/>
      <c r="X26" s="1" t="n"/>
      <c r="Y26" s="1" t="n"/>
      <c r="Z26" s="1" t="n"/>
      <c r="AA26" s="1" t="n"/>
      <c r="AB26" s="1" t="n"/>
      <c r="AC26" s="1" t="n"/>
      <c r="AD26" s="1" t="n"/>
    </row>
    <row r="27" ht="22.5" customHeight="1">
      <c r="A27" s="18" t="n"/>
      <c r="B27" s="18" t="n"/>
      <c r="C27" s="18" t="n"/>
      <c r="D27" s="18" t="n"/>
      <c r="E27" s="18" t="n"/>
      <c r="F27" s="18" t="n"/>
      <c r="G27" s="18" t="n"/>
      <c r="H27" s="18" t="n"/>
      <c r="I27" s="18" t="n"/>
      <c r="J27" s="18" t="n"/>
      <c r="K27" s="1" t="n"/>
      <c r="L27" s="1" t="n"/>
      <c r="M27" s="1" t="n"/>
      <c r="N27" s="1" t="n"/>
      <c r="O27" s="1" t="n"/>
      <c r="P27" s="1" t="n"/>
      <c r="Q27" s="1" t="n"/>
      <c r="R27" s="1" t="n"/>
      <c r="S27" s="1" t="n"/>
      <c r="T27" s="1" t="n"/>
      <c r="U27" s="1" t="n"/>
      <c r="V27" s="1" t="n"/>
      <c r="W27" s="1" t="n"/>
      <c r="X27" s="1" t="n"/>
      <c r="Y27" s="1" t="n"/>
      <c r="Z27" s="1" t="n"/>
      <c r="AA27" s="1" t="n"/>
      <c r="AB27" s="1" t="n"/>
      <c r="AC27" s="1" t="n"/>
      <c r="AD27" s="1" t="n"/>
    </row>
    <row r="28" ht="22.5" customHeight="1">
      <c r="A28" s="18" t="n"/>
      <c r="B28" s="18" t="n"/>
      <c r="C28" s="18" t="n"/>
      <c r="D28" s="18" t="n"/>
      <c r="E28" s="18" t="n"/>
      <c r="F28" s="18" t="n"/>
      <c r="G28" s="18" t="n"/>
      <c r="H28" s="18" t="n"/>
      <c r="I28" s="18" t="n"/>
      <c r="J28" s="18" t="n"/>
      <c r="K28" s="1" t="n"/>
      <c r="L28" s="1" t="n"/>
      <c r="M28" s="1" t="n"/>
      <c r="N28" s="1" t="n"/>
      <c r="O28" s="1" t="n"/>
      <c r="P28" s="1" t="n"/>
      <c r="Q28" s="1" t="n"/>
      <c r="R28" s="1" t="n"/>
      <c r="S28" s="1" t="n"/>
      <c r="T28" s="1" t="n"/>
      <c r="U28" s="1" t="n"/>
      <c r="V28" s="1" t="n"/>
      <c r="W28" s="1" t="n"/>
      <c r="X28" s="1" t="n"/>
      <c r="Y28" s="1" t="n"/>
      <c r="Z28" s="1" t="n"/>
      <c r="AA28" s="1" t="n"/>
      <c r="AB28" s="1" t="n"/>
      <c r="AC28" s="1" t="n"/>
      <c r="AD28" s="1" t="n"/>
    </row>
    <row r="29" ht="22.5" customHeight="1">
      <c r="A29" s="18" t="n"/>
      <c r="B29" s="18" t="n"/>
      <c r="C29" s="18" t="n"/>
      <c r="D29" s="18" t="n"/>
      <c r="E29" s="18" t="n"/>
      <c r="F29" s="18" t="n"/>
      <c r="G29" s="18" t="n"/>
      <c r="H29" s="18" t="n"/>
      <c r="I29" s="18" t="n"/>
      <c r="J29" s="18" t="n"/>
      <c r="K29" s="1" t="n"/>
      <c r="L29" s="1" t="n"/>
      <c r="M29" s="1" t="n"/>
      <c r="N29" s="1" t="n"/>
      <c r="O29" s="1" t="n"/>
      <c r="P29" s="1" t="n"/>
      <c r="Q29" s="1" t="n"/>
      <c r="R29" s="1" t="n"/>
      <c r="S29" s="1" t="n"/>
      <c r="T29" s="1" t="n"/>
      <c r="U29" s="1" t="n"/>
      <c r="V29" s="1" t="n"/>
      <c r="W29" s="1" t="n"/>
      <c r="X29" s="1" t="n"/>
      <c r="Y29" s="1" t="n"/>
      <c r="Z29" s="1" t="n"/>
      <c r="AA29" s="1" t="n"/>
      <c r="AB29" s="1" t="n"/>
      <c r="AC29" s="1" t="n"/>
      <c r="AD29" s="1" t="n"/>
    </row>
    <row r="30" ht="22.5" customHeight="1">
      <c r="A30" s="18" t="n"/>
      <c r="B30" s="18" t="n"/>
      <c r="C30" s="18" t="n"/>
      <c r="D30" s="18" t="n"/>
      <c r="E30" s="18" t="n"/>
      <c r="F30" s="18" t="n"/>
      <c r="G30" s="18" t="n"/>
      <c r="H30" s="18" t="n"/>
      <c r="I30" s="18" t="n"/>
      <c r="J30" s="18" t="n"/>
      <c r="K30" s="1" t="n"/>
      <c r="L30" s="1" t="n"/>
      <c r="M30" s="1" t="n"/>
      <c r="N30" s="1" t="n"/>
      <c r="O30" s="1" t="n"/>
      <c r="P30" s="1" t="n"/>
      <c r="Q30" s="1" t="n"/>
      <c r="R30" s="1" t="n"/>
      <c r="S30" s="1" t="n"/>
      <c r="T30" s="1" t="n"/>
      <c r="U30" s="1" t="n"/>
      <c r="V30" s="1" t="n"/>
      <c r="W30" s="1" t="n"/>
      <c r="X30" s="1" t="n"/>
      <c r="Y30" s="1" t="n"/>
      <c r="Z30" s="1" t="n"/>
      <c r="AA30" s="1" t="n"/>
      <c r="AB30" s="1" t="n"/>
      <c r="AC30" s="1" t="n"/>
      <c r="AD30" s="1" t="n"/>
    </row>
    <row r="31" ht="22.5" customHeight="1">
      <c r="A31" s="18" t="n"/>
      <c r="B31" s="18" t="n"/>
      <c r="C31" s="18" t="n"/>
      <c r="D31" s="18" t="n"/>
      <c r="E31" s="18" t="n"/>
      <c r="F31" s="18" t="n"/>
      <c r="G31" s="18" t="n"/>
      <c r="H31" s="18" t="n"/>
      <c r="I31" s="18" t="n"/>
      <c r="J31" s="18" t="n"/>
      <c r="K31" s="1" t="n"/>
      <c r="L31" s="1" t="n"/>
      <c r="M31" s="1" t="n"/>
      <c r="N31" s="1" t="n"/>
      <c r="O31" s="1" t="n"/>
      <c r="P31" s="1" t="n"/>
      <c r="Q31" s="1" t="n"/>
      <c r="R31" s="1" t="n"/>
      <c r="S31" s="1" t="n"/>
      <c r="T31" s="1" t="n"/>
      <c r="U31" s="1" t="n"/>
      <c r="V31" s="1" t="n"/>
      <c r="W31" s="1" t="n"/>
      <c r="X31" s="1" t="n"/>
      <c r="Y31" s="1" t="n"/>
      <c r="Z31" s="1" t="n"/>
      <c r="AA31" s="1" t="n"/>
      <c r="AB31" s="1" t="n"/>
      <c r="AC31" s="1" t="n"/>
      <c r="AD31" s="1" t="n"/>
    </row>
    <row r="32" ht="22.5" customHeight="1">
      <c r="A32" s="18" t="n"/>
      <c r="B32" s="18" t="n"/>
      <c r="C32" s="18" t="n"/>
      <c r="D32" s="18" t="n"/>
      <c r="E32" s="18" t="n"/>
      <c r="F32" s="18" t="n"/>
      <c r="G32" s="18" t="n"/>
      <c r="H32" s="18" t="n"/>
      <c r="I32" s="18" t="n"/>
      <c r="J32" s="18" t="n"/>
      <c r="K32" s="1" t="n"/>
      <c r="L32" s="1" t="n"/>
      <c r="M32" s="1" t="n"/>
      <c r="N32" s="1" t="n"/>
      <c r="O32" s="1" t="n"/>
      <c r="P32" s="1" t="n"/>
      <c r="Q32" s="1" t="n"/>
      <c r="R32" s="1" t="n"/>
      <c r="S32" s="1" t="n"/>
      <c r="T32" s="1" t="n"/>
      <c r="U32" s="1" t="n"/>
      <c r="V32" s="1" t="n"/>
      <c r="W32" s="1" t="n"/>
      <c r="X32" s="1" t="n"/>
      <c r="Y32" s="1" t="n"/>
      <c r="Z32" s="1" t="n"/>
      <c r="AA32" s="1" t="n"/>
      <c r="AB32" s="1" t="n"/>
      <c r="AC32" s="1" t="n"/>
      <c r="AD32" s="1" t="n"/>
    </row>
    <row r="33" ht="22.5" customHeight="1">
      <c r="A33" s="18" t="n"/>
      <c r="B33" s="18" t="n"/>
      <c r="C33" s="18" t="n"/>
      <c r="D33" s="18" t="n"/>
      <c r="E33" s="18" t="n"/>
      <c r="F33" s="18" t="n"/>
      <c r="G33" s="18" t="n"/>
      <c r="H33" s="18" t="n"/>
      <c r="I33" s="18" t="n"/>
      <c r="J33" s="18" t="n"/>
      <c r="K33" s="1" t="n"/>
      <c r="L33" s="1" t="n"/>
      <c r="M33" s="1" t="n"/>
      <c r="N33" s="1" t="n"/>
      <c r="O33" s="1" t="n"/>
      <c r="P33" s="1" t="n"/>
      <c r="Q33" s="1" t="n"/>
      <c r="R33" s="1" t="n"/>
      <c r="S33" s="1" t="n"/>
      <c r="T33" s="1" t="n"/>
      <c r="U33" s="1" t="n"/>
      <c r="V33" s="1" t="n"/>
      <c r="W33" s="1" t="n"/>
      <c r="X33" s="1" t="n"/>
      <c r="Y33" s="1" t="n"/>
      <c r="Z33" s="1" t="n"/>
      <c r="AA33" s="1" t="n"/>
      <c r="AB33" s="1" t="n"/>
      <c r="AC33" s="1" t="n"/>
      <c r="AD33" s="1" t="n"/>
    </row>
    <row r="34" ht="22.5" customHeight="1">
      <c r="A34" s="18" t="n"/>
      <c r="B34" s="18" t="n"/>
      <c r="C34" s="18" t="n"/>
      <c r="D34" s="18" t="n"/>
      <c r="E34" s="18" t="n"/>
      <c r="F34" s="18" t="n"/>
      <c r="G34" s="18" t="n"/>
      <c r="H34" s="18" t="n"/>
      <c r="I34" s="18" t="n"/>
      <c r="J34" s="18" t="n"/>
      <c r="K34" s="1" t="n"/>
      <c r="L34" s="1" t="n"/>
      <c r="M34" s="1" t="n"/>
      <c r="N34" s="1" t="n"/>
      <c r="O34" s="1" t="n"/>
      <c r="P34" s="1" t="n"/>
      <c r="Q34" s="1" t="n"/>
      <c r="R34" s="1" t="n"/>
      <c r="S34" s="1" t="n"/>
      <c r="T34" s="1" t="n"/>
      <c r="U34" s="1" t="n"/>
      <c r="V34" s="1" t="n"/>
      <c r="W34" s="1" t="n"/>
      <c r="X34" s="1" t="n"/>
      <c r="Y34" s="1" t="n"/>
      <c r="Z34" s="1" t="n"/>
      <c r="AA34" s="1" t="n"/>
      <c r="AB34" s="1" t="n"/>
      <c r="AC34" s="1" t="n"/>
      <c r="AD34" s="1" t="n"/>
    </row>
    <row r="35" ht="22.5" customHeight="1">
      <c r="A35" s="18" t="n"/>
      <c r="B35" s="18" t="n"/>
      <c r="C35" s="18" t="n"/>
      <c r="D35" s="18" t="n"/>
      <c r="E35" s="18" t="n"/>
      <c r="F35" s="18" t="n"/>
      <c r="G35" s="18" t="n"/>
      <c r="H35" s="18" t="n"/>
      <c r="I35" s="18" t="n"/>
      <c r="J35" s="18" t="n"/>
      <c r="K35" s="1" t="n"/>
      <c r="L35" s="1" t="n"/>
      <c r="M35" s="1" t="n"/>
      <c r="N35" s="1" t="n"/>
      <c r="O35" s="1" t="n"/>
      <c r="P35" s="1" t="n"/>
      <c r="Q35" s="1" t="n"/>
      <c r="R35" s="1" t="n"/>
      <c r="S35" s="1" t="n"/>
      <c r="T35" s="1" t="n"/>
      <c r="U35" s="1" t="n"/>
      <c r="V35" s="1" t="n"/>
      <c r="W35" s="1" t="n"/>
      <c r="X35" s="1" t="n"/>
      <c r="Y35" s="1" t="n"/>
      <c r="Z35" s="1" t="n"/>
      <c r="AA35" s="1" t="n"/>
      <c r="AB35" s="1" t="n"/>
      <c r="AC35" s="1" t="n"/>
      <c r="AD35" s="1" t="n"/>
    </row>
    <row r="36" ht="22.5" customHeight="1">
      <c r="A36" s="18" t="n"/>
      <c r="B36" s="18" t="n"/>
      <c r="C36" s="18" t="n"/>
      <c r="D36" s="18" t="n"/>
      <c r="E36" s="18" t="n"/>
      <c r="F36" s="18" t="n"/>
      <c r="G36" s="18" t="n"/>
      <c r="H36" s="18" t="n"/>
      <c r="I36" s="18" t="n"/>
      <c r="J36" s="18" t="n"/>
      <c r="K36" s="1" t="n"/>
      <c r="L36" s="1" t="n"/>
      <c r="M36" s="1" t="n"/>
      <c r="N36" s="1" t="n"/>
      <c r="O36" s="1" t="n"/>
      <c r="P36" s="1" t="n"/>
      <c r="Q36" s="1" t="n"/>
      <c r="R36" s="1" t="n"/>
      <c r="S36" s="1" t="n"/>
      <c r="T36" s="1" t="n"/>
      <c r="U36" s="1" t="n"/>
      <c r="V36" s="1" t="n"/>
      <c r="W36" s="1" t="n"/>
      <c r="X36" s="1" t="n"/>
      <c r="Y36" s="1" t="n"/>
      <c r="Z36" s="1" t="n"/>
      <c r="AA36" s="1" t="n"/>
      <c r="AB36" s="1" t="n"/>
      <c r="AC36" s="1" t="n"/>
      <c r="AD36" s="1" t="n"/>
    </row>
    <row r="37" ht="22.5" customHeight="1">
      <c r="A37" s="18" t="n"/>
      <c r="B37" s="18" t="n"/>
      <c r="C37" s="18" t="n"/>
      <c r="D37" s="18" t="n"/>
      <c r="E37" s="18" t="n"/>
      <c r="F37" s="18" t="n"/>
      <c r="G37" s="18" t="n"/>
      <c r="H37" s="18" t="n"/>
      <c r="I37" s="18" t="n"/>
      <c r="J37" s="18" t="n"/>
      <c r="K37" s="1" t="n"/>
      <c r="L37" s="1" t="n"/>
      <c r="M37" s="1" t="n"/>
      <c r="N37" s="1" t="n"/>
      <c r="O37" s="1" t="n"/>
      <c r="P37" s="1" t="n"/>
      <c r="Q37" s="1" t="n"/>
      <c r="R37" s="1" t="n"/>
      <c r="S37" s="1" t="n"/>
      <c r="T37" s="1" t="n"/>
      <c r="U37" s="1" t="n"/>
      <c r="V37" s="1" t="n"/>
      <c r="W37" s="1" t="n"/>
      <c r="X37" s="1" t="n"/>
      <c r="Y37" s="1" t="n"/>
      <c r="Z37" s="1" t="n"/>
      <c r="AA37" s="1" t="n"/>
      <c r="AB37" s="1" t="n"/>
      <c r="AC37" s="1" t="n"/>
      <c r="AD37" s="1" t="n"/>
    </row>
    <row r="38" ht="22.5" customHeight="1">
      <c r="A38" s="18" t="n"/>
      <c r="B38" s="18" t="n"/>
      <c r="C38" s="18" t="n"/>
      <c r="D38" s="18" t="n"/>
      <c r="E38" s="18" t="n"/>
      <c r="F38" s="18" t="n"/>
      <c r="G38" s="18" t="n"/>
      <c r="H38" s="18" t="n"/>
      <c r="I38" s="18" t="n"/>
      <c r="J38" s="18" t="n"/>
      <c r="K38" s="1" t="n"/>
      <c r="L38" s="1" t="n"/>
      <c r="M38" s="1" t="n"/>
      <c r="N38" s="1" t="n"/>
      <c r="O38" s="1" t="n"/>
      <c r="P38" s="1" t="n"/>
      <c r="Q38" s="1" t="n"/>
      <c r="R38" s="1" t="n"/>
      <c r="S38" s="1" t="n"/>
      <c r="T38" s="1" t="n"/>
      <c r="U38" s="1" t="n"/>
      <c r="V38" s="1" t="n"/>
      <c r="W38" s="1" t="n"/>
      <c r="X38" s="1" t="n"/>
      <c r="Y38" s="1" t="n"/>
      <c r="Z38" s="1" t="n"/>
      <c r="AA38" s="1" t="n"/>
      <c r="AB38" s="1" t="n"/>
      <c r="AC38" s="1" t="n"/>
      <c r="AD38" s="1" t="n"/>
    </row>
    <row r="39" ht="22.5" customHeight="1">
      <c r="A39" s="18" t="n"/>
      <c r="B39" s="18" t="n"/>
      <c r="C39" s="18" t="n"/>
      <c r="D39" s="18" t="n"/>
      <c r="E39" s="18" t="n"/>
      <c r="F39" s="18" t="n"/>
      <c r="G39" s="18" t="n"/>
      <c r="H39" s="18" t="n"/>
      <c r="I39" s="18" t="n"/>
      <c r="J39" s="18" t="n"/>
      <c r="K39" s="1" t="n"/>
      <c r="L39" s="1" t="n"/>
      <c r="M39" s="1" t="n"/>
      <c r="N39" s="1" t="n"/>
      <c r="O39" s="1" t="n"/>
      <c r="P39" s="1" t="n"/>
      <c r="Q39" s="1" t="n"/>
      <c r="R39" s="1" t="n"/>
      <c r="S39" s="1" t="n"/>
      <c r="T39" s="1" t="n"/>
      <c r="U39" s="1" t="n"/>
      <c r="V39" s="1" t="n"/>
      <c r="W39" s="1" t="n"/>
      <c r="X39" s="1" t="n"/>
      <c r="Y39" s="1" t="n"/>
      <c r="Z39" s="1" t="n"/>
      <c r="AA39" s="1" t="n"/>
      <c r="AB39" s="1" t="n"/>
      <c r="AC39" s="1" t="n"/>
      <c r="AD39" s="1" t="n"/>
    </row>
    <row r="40" ht="22.5" customHeight="1">
      <c r="A40" s="18" t="n"/>
      <c r="B40" s="18" t="n"/>
      <c r="C40" s="18" t="n"/>
      <c r="D40" s="18" t="n"/>
      <c r="E40" s="18" t="n"/>
      <c r="F40" s="18" t="n"/>
      <c r="G40" s="18" t="n"/>
      <c r="H40" s="18" t="n"/>
      <c r="I40" s="18" t="n"/>
      <c r="J40" s="18" t="n"/>
      <c r="K40" s="1" t="n"/>
      <c r="L40" s="1" t="n"/>
      <c r="M40" s="1" t="n"/>
      <c r="N40" s="1" t="n"/>
      <c r="O40" s="1" t="n"/>
      <c r="P40" s="1" t="n"/>
      <c r="Q40" s="1" t="n"/>
      <c r="R40" s="1" t="n"/>
      <c r="S40" s="1" t="n"/>
      <c r="T40" s="1" t="n"/>
      <c r="U40" s="1" t="n"/>
      <c r="V40" s="1" t="n"/>
      <c r="W40" s="1" t="n"/>
      <c r="X40" s="1" t="n"/>
      <c r="Y40" s="1" t="n"/>
      <c r="Z40" s="1" t="n"/>
      <c r="AA40" s="1" t="n"/>
      <c r="AB40" s="1" t="n"/>
      <c r="AC40" s="1" t="n"/>
      <c r="AD40" s="1" t="n"/>
    </row>
    <row r="41" ht="22.5" customHeight="1">
      <c r="A41" s="18" t="n"/>
      <c r="B41" s="18" t="n"/>
      <c r="C41" s="18" t="n"/>
      <c r="D41" s="18" t="n"/>
      <c r="E41" s="18" t="n"/>
      <c r="F41" s="18" t="n"/>
      <c r="G41" s="18" t="n"/>
      <c r="H41" s="18" t="n"/>
      <c r="I41" s="18" t="n"/>
      <c r="J41" s="18" t="n"/>
      <c r="K41" s="1" t="n"/>
      <c r="L41" s="1" t="n"/>
      <c r="M41" s="1" t="n"/>
      <c r="N41" s="1" t="n"/>
      <c r="O41" s="1" t="n"/>
      <c r="P41" s="1" t="n"/>
      <c r="Q41" s="1" t="n"/>
      <c r="R41" s="1" t="n"/>
      <c r="S41" s="1" t="n"/>
      <c r="T41" s="1" t="n"/>
      <c r="U41" s="1" t="n"/>
      <c r="V41" s="1" t="n"/>
      <c r="W41" s="1" t="n"/>
      <c r="X41" s="1" t="n"/>
      <c r="Y41" s="1" t="n"/>
      <c r="Z41" s="1" t="n"/>
      <c r="AA41" s="1" t="n"/>
      <c r="AB41" s="1" t="n"/>
      <c r="AC41" s="1" t="n"/>
      <c r="AD41" s="1" t="n"/>
    </row>
    <row r="42" ht="22.5" customHeight="1">
      <c r="A42" s="18" t="n"/>
      <c r="B42" s="18" t="n"/>
      <c r="C42" s="18" t="n"/>
      <c r="D42" s="18" t="n"/>
      <c r="E42" s="18" t="n"/>
      <c r="F42" s="18" t="n"/>
      <c r="G42" s="18" t="n"/>
      <c r="H42" s="18" t="n"/>
      <c r="I42" s="18" t="n"/>
      <c r="J42" s="18" t="n"/>
      <c r="K42" s="1" t="n"/>
      <c r="L42" s="1" t="n"/>
      <c r="M42" s="1" t="n"/>
      <c r="N42" s="1" t="n"/>
      <c r="O42" s="1" t="n"/>
      <c r="P42" s="1" t="n"/>
      <c r="Q42" s="1" t="n"/>
      <c r="R42" s="1" t="n"/>
      <c r="S42" s="1" t="n"/>
      <c r="T42" s="1" t="n"/>
      <c r="U42" s="1" t="n"/>
      <c r="V42" s="1" t="n"/>
      <c r="W42" s="1" t="n"/>
      <c r="X42" s="1" t="n"/>
      <c r="Y42" s="1" t="n"/>
      <c r="Z42" s="1" t="n"/>
      <c r="AA42" s="1" t="n"/>
      <c r="AB42" s="1" t="n"/>
      <c r="AC42" s="1" t="n"/>
      <c r="AD42" s="1" t="n"/>
    </row>
    <row r="43" ht="22.5" customHeight="1">
      <c r="A43" s="18" t="n"/>
      <c r="B43" s="18" t="n"/>
      <c r="C43" s="18" t="n"/>
      <c r="D43" s="18" t="n"/>
      <c r="E43" s="18" t="n"/>
      <c r="F43" s="18" t="n"/>
      <c r="G43" s="18" t="n"/>
      <c r="H43" s="18" t="n"/>
      <c r="I43" s="18" t="n"/>
      <c r="J43" s="18" t="n"/>
      <c r="K43" s="1" t="n"/>
      <c r="L43" s="1" t="n"/>
      <c r="M43" s="1" t="n"/>
      <c r="N43" s="1" t="n"/>
      <c r="O43" s="1" t="n"/>
      <c r="P43" s="1" t="n"/>
      <c r="Q43" s="1" t="n"/>
      <c r="R43" s="1" t="n"/>
      <c r="S43" s="1" t="n"/>
      <c r="T43" s="1" t="n"/>
      <c r="U43" s="1" t="n"/>
      <c r="V43" s="1" t="n"/>
      <c r="W43" s="1" t="n"/>
      <c r="X43" s="1" t="n"/>
      <c r="Y43" s="1" t="n"/>
      <c r="Z43" s="1" t="n"/>
      <c r="AA43" s="1" t="n"/>
      <c r="AB43" s="1" t="n"/>
      <c r="AC43" s="1" t="n"/>
      <c r="AD43" s="1" t="n"/>
    </row>
    <row r="44" ht="22.5" customHeight="1">
      <c r="A44" s="18" t="n"/>
      <c r="B44" s="18" t="n"/>
      <c r="C44" s="18" t="n"/>
      <c r="D44" s="18" t="n"/>
      <c r="E44" s="18" t="n"/>
      <c r="F44" s="18" t="n"/>
      <c r="G44" s="18" t="n"/>
      <c r="H44" s="18" t="n"/>
      <c r="I44" s="18" t="n"/>
      <c r="J44" s="18" t="n"/>
      <c r="K44" s="1" t="n"/>
      <c r="L44" s="1" t="n"/>
      <c r="M44" s="1" t="n"/>
      <c r="N44" s="1" t="n"/>
      <c r="O44" s="1" t="n"/>
      <c r="P44" s="1" t="n"/>
      <c r="Q44" s="1" t="n"/>
      <c r="R44" s="1" t="n"/>
      <c r="S44" s="1" t="n"/>
      <c r="T44" s="1" t="n"/>
      <c r="U44" s="1" t="n"/>
      <c r="V44" s="1" t="n"/>
      <c r="W44" s="1" t="n"/>
      <c r="X44" s="1" t="n"/>
      <c r="Y44" s="1" t="n"/>
      <c r="Z44" s="1" t="n"/>
      <c r="AA44" s="1" t="n"/>
      <c r="AB44" s="1" t="n"/>
      <c r="AC44" s="1" t="n"/>
      <c r="AD44" s="1" t="n"/>
    </row>
    <row r="45" ht="22.5" customHeight="1">
      <c r="A45" s="18" t="n"/>
      <c r="B45" s="18" t="n"/>
      <c r="C45" s="18" t="n"/>
      <c r="D45" s="18" t="n"/>
      <c r="E45" s="18" t="n"/>
      <c r="F45" s="18" t="n"/>
      <c r="G45" s="18" t="n"/>
      <c r="H45" s="18" t="n"/>
      <c r="I45" s="18" t="n"/>
      <c r="J45" s="18" t="n"/>
      <c r="K45" s="1" t="n"/>
      <c r="L45" s="1" t="n"/>
      <c r="M45" s="1" t="n"/>
      <c r="N45" s="1" t="n"/>
      <c r="O45" s="1" t="n"/>
      <c r="P45" s="1" t="n"/>
      <c r="Q45" s="1" t="n"/>
      <c r="R45" s="1" t="n"/>
      <c r="S45" s="1" t="n"/>
      <c r="T45" s="1" t="n"/>
      <c r="U45" s="1" t="n"/>
      <c r="V45" s="1" t="n"/>
      <c r="W45" s="1" t="n"/>
      <c r="X45" s="1" t="n"/>
      <c r="Y45" s="1" t="n"/>
      <c r="Z45" s="1" t="n"/>
      <c r="AA45" s="1" t="n"/>
      <c r="AB45" s="1" t="n"/>
      <c r="AC45" s="1" t="n"/>
      <c r="AD45" s="1" t="n"/>
    </row>
    <row r="46" ht="22.5" customHeight="1">
      <c r="A46" s="18" t="n"/>
      <c r="B46" s="18" t="n"/>
      <c r="C46" s="18" t="n"/>
      <c r="D46" s="18" t="n"/>
      <c r="E46" s="18" t="n"/>
      <c r="F46" s="18" t="n"/>
      <c r="G46" s="18" t="n"/>
      <c r="H46" s="18" t="n"/>
      <c r="I46" s="18" t="n"/>
      <c r="J46" s="18" t="n"/>
      <c r="K46" s="1" t="n"/>
      <c r="L46" s="1" t="n"/>
      <c r="M46" s="1" t="n"/>
      <c r="N46" s="1" t="n"/>
      <c r="O46" s="1" t="n"/>
      <c r="P46" s="1" t="n"/>
      <c r="Q46" s="1" t="n"/>
      <c r="R46" s="1" t="n"/>
      <c r="S46" s="1" t="n"/>
      <c r="T46" s="1" t="n"/>
      <c r="U46" s="1" t="n"/>
      <c r="V46" s="1" t="n"/>
      <c r="W46" s="1" t="n"/>
      <c r="X46" s="1" t="n"/>
      <c r="Y46" s="1" t="n"/>
      <c r="Z46" s="1" t="n"/>
      <c r="AA46" s="1" t="n"/>
      <c r="AB46" s="1" t="n"/>
      <c r="AC46" s="1" t="n"/>
      <c r="AD46" s="1" t="n"/>
    </row>
    <row r="47" ht="22.5" customHeight="1">
      <c r="A47" s="18" t="n"/>
      <c r="B47" s="18" t="n"/>
      <c r="C47" s="18" t="n"/>
      <c r="D47" s="18" t="n"/>
      <c r="E47" s="18" t="n"/>
      <c r="F47" s="18" t="n"/>
      <c r="G47" s="18" t="n"/>
      <c r="H47" s="18" t="n"/>
      <c r="I47" s="18" t="n"/>
      <c r="J47" s="18" t="n"/>
      <c r="K47" s="1" t="n"/>
      <c r="L47" s="1" t="n"/>
      <c r="M47" s="1" t="n"/>
      <c r="N47" s="1" t="n"/>
      <c r="O47" s="1" t="n"/>
      <c r="P47" s="1" t="n"/>
      <c r="Q47" s="1" t="n"/>
      <c r="R47" s="1" t="n"/>
      <c r="S47" s="1" t="n"/>
      <c r="T47" s="1" t="n"/>
      <c r="U47" s="1" t="n"/>
      <c r="V47" s="1" t="n"/>
      <c r="W47" s="1" t="n"/>
      <c r="X47" s="1" t="n"/>
      <c r="Y47" s="1" t="n"/>
      <c r="Z47" s="1" t="n"/>
      <c r="AA47" s="1" t="n"/>
      <c r="AB47" s="1" t="n"/>
      <c r="AC47" s="1" t="n"/>
      <c r="AD47" s="1" t="n"/>
    </row>
    <row r="48" ht="22.5" customHeight="1">
      <c r="A48" s="18" t="n"/>
      <c r="B48" s="18" t="n"/>
      <c r="C48" s="18" t="n"/>
      <c r="D48" s="18" t="n"/>
      <c r="E48" s="18" t="n"/>
      <c r="F48" s="18" t="n"/>
      <c r="G48" s="18" t="n"/>
      <c r="H48" s="18" t="n"/>
      <c r="I48" s="18" t="n"/>
      <c r="J48" s="18" t="n"/>
      <c r="K48" s="1" t="n"/>
      <c r="L48" s="1" t="n"/>
      <c r="M48" s="1" t="n"/>
      <c r="N48" s="1" t="n"/>
      <c r="O48" s="1" t="n"/>
      <c r="P48" s="1" t="n"/>
      <c r="Q48" s="1" t="n"/>
      <c r="R48" s="1" t="n"/>
      <c r="S48" s="1" t="n"/>
      <c r="T48" s="1" t="n"/>
      <c r="U48" s="1" t="n"/>
      <c r="V48" s="1" t="n"/>
      <c r="W48" s="1" t="n"/>
      <c r="X48" s="1" t="n"/>
      <c r="Y48" s="1" t="n"/>
      <c r="Z48" s="1" t="n"/>
      <c r="AA48" s="1" t="n"/>
      <c r="AB48" s="1" t="n"/>
      <c r="AC48" s="1" t="n"/>
      <c r="AD48" s="1" t="n"/>
    </row>
    <row r="49" ht="22.5" customHeight="1">
      <c r="A49" s="18" t="n"/>
      <c r="B49" s="18" t="n"/>
      <c r="C49" s="18" t="n"/>
      <c r="D49" s="18" t="n"/>
      <c r="E49" s="18" t="n"/>
      <c r="F49" s="18" t="n"/>
      <c r="G49" s="18" t="n"/>
      <c r="H49" s="18" t="n"/>
      <c r="I49" s="18" t="n"/>
      <c r="J49" s="18" t="n"/>
      <c r="K49" s="1" t="n"/>
      <c r="L49" s="1" t="n"/>
      <c r="M49" s="1" t="n"/>
      <c r="N49" s="1" t="n"/>
      <c r="O49" s="1" t="n"/>
      <c r="P49" s="1" t="n"/>
      <c r="Q49" s="1" t="n"/>
      <c r="R49" s="1" t="n"/>
      <c r="S49" s="1" t="n"/>
      <c r="T49" s="1" t="n"/>
      <c r="U49" s="1" t="n"/>
      <c r="V49" s="1" t="n"/>
      <c r="W49" s="1" t="n"/>
      <c r="X49" s="1" t="n"/>
      <c r="Y49" s="1" t="n"/>
      <c r="Z49" s="1" t="n"/>
      <c r="AA49" s="1" t="n"/>
      <c r="AB49" s="1" t="n"/>
      <c r="AC49" s="1" t="n"/>
      <c r="AD49" s="1" t="n"/>
    </row>
    <row r="50" ht="22.5" customHeight="1">
      <c r="A50" s="18" t="n"/>
      <c r="B50" s="18" t="n"/>
      <c r="C50" s="18" t="n"/>
      <c r="D50" s="18" t="n"/>
      <c r="E50" s="18" t="n"/>
      <c r="F50" s="18" t="n"/>
      <c r="G50" s="18" t="n"/>
      <c r="H50" s="18" t="n"/>
      <c r="I50" s="18" t="n"/>
      <c r="J50" s="18" t="n"/>
      <c r="K50" s="1" t="n"/>
      <c r="L50" s="1" t="n"/>
      <c r="M50" s="1" t="n"/>
      <c r="N50" s="1" t="n"/>
      <c r="O50" s="1" t="n"/>
      <c r="P50" s="1" t="n"/>
      <c r="Q50" s="1" t="n"/>
      <c r="R50" s="1" t="n"/>
      <c r="S50" s="1" t="n"/>
      <c r="T50" s="1" t="n"/>
      <c r="U50" s="1" t="n"/>
      <c r="V50" s="1" t="n"/>
      <c r="W50" s="1" t="n"/>
      <c r="X50" s="1" t="n"/>
      <c r="Y50" s="1" t="n"/>
      <c r="Z50" s="1" t="n"/>
      <c r="AA50" s="1" t="n"/>
      <c r="AB50" s="1" t="n"/>
      <c r="AC50" s="1" t="n"/>
      <c r="AD50" s="1" t="n"/>
    </row>
    <row r="51" ht="22.5" customHeight="1">
      <c r="A51" s="18" t="n"/>
      <c r="B51" s="18" t="n"/>
      <c r="C51" s="18" t="n"/>
      <c r="D51" s="18" t="n"/>
      <c r="E51" s="18" t="n"/>
      <c r="F51" s="18" t="n"/>
      <c r="G51" s="18" t="n"/>
      <c r="H51" s="18" t="n"/>
      <c r="I51" s="18" t="n"/>
      <c r="J51" s="18" t="n"/>
      <c r="K51" s="1" t="n"/>
      <c r="L51" s="1" t="n"/>
      <c r="M51" s="1" t="n"/>
      <c r="N51" s="1" t="n"/>
      <c r="O51" s="1" t="n"/>
      <c r="P51" s="1" t="n"/>
      <c r="Q51" s="1" t="n"/>
      <c r="R51" s="1" t="n"/>
      <c r="S51" s="1" t="n"/>
      <c r="T51" s="1" t="n"/>
      <c r="U51" s="1" t="n"/>
      <c r="V51" s="1" t="n"/>
      <c r="W51" s="1" t="n"/>
      <c r="X51" s="1" t="n"/>
      <c r="Y51" s="1" t="n"/>
      <c r="Z51" s="1" t="n"/>
      <c r="AA51" s="1" t="n"/>
      <c r="AB51" s="1" t="n"/>
      <c r="AC51" s="1" t="n"/>
      <c r="AD51" s="1" t="n"/>
    </row>
    <row r="52" ht="22.5" customHeight="1">
      <c r="A52" s="18" t="n"/>
      <c r="B52" s="18" t="n"/>
      <c r="C52" s="18" t="n"/>
      <c r="D52" s="18" t="n"/>
      <c r="E52" s="18" t="n"/>
      <c r="F52" s="18" t="n"/>
      <c r="G52" s="18" t="n"/>
      <c r="H52" s="18" t="n"/>
      <c r="I52" s="18" t="n"/>
      <c r="J52" s="18" t="n"/>
      <c r="K52" s="1" t="n"/>
      <c r="L52" s="1" t="n"/>
      <c r="M52" s="1" t="n"/>
      <c r="N52" s="1" t="n"/>
      <c r="O52" s="1" t="n"/>
      <c r="P52" s="1" t="n"/>
      <c r="Q52" s="1" t="n"/>
      <c r="R52" s="1" t="n"/>
      <c r="S52" s="1" t="n"/>
      <c r="T52" s="1" t="n"/>
      <c r="U52" s="1" t="n"/>
      <c r="V52" s="1" t="n"/>
      <c r="W52" s="1" t="n"/>
      <c r="X52" s="1" t="n"/>
      <c r="Y52" s="1" t="n"/>
      <c r="Z52" s="1" t="n"/>
      <c r="AA52" s="1" t="n"/>
      <c r="AB52" s="1" t="n"/>
      <c r="AC52" s="1" t="n"/>
      <c r="AD52" s="1" t="n"/>
    </row>
    <row r="53" ht="22.5" customHeight="1">
      <c r="A53" s="18" t="n"/>
      <c r="B53" s="18" t="n"/>
      <c r="C53" s="18" t="n"/>
      <c r="D53" s="18" t="n"/>
      <c r="E53" s="18" t="n"/>
      <c r="F53" s="18" t="n"/>
      <c r="G53" s="18" t="n"/>
      <c r="H53" s="18" t="n"/>
      <c r="I53" s="18" t="n"/>
      <c r="J53" s="18" t="n"/>
      <c r="K53" s="1" t="n"/>
      <c r="L53" s="1" t="n"/>
      <c r="M53" s="1" t="n"/>
      <c r="N53" s="1" t="n"/>
      <c r="O53" s="1" t="n"/>
      <c r="P53" s="1" t="n"/>
      <c r="Q53" s="1" t="n"/>
      <c r="R53" s="1" t="n"/>
      <c r="S53" s="1" t="n"/>
      <c r="T53" s="1" t="n"/>
      <c r="U53" s="1" t="n"/>
      <c r="V53" s="1" t="n"/>
      <c r="W53" s="1" t="n"/>
      <c r="X53" s="1" t="n"/>
      <c r="Y53" s="1" t="n"/>
      <c r="Z53" s="1" t="n"/>
      <c r="AA53" s="1" t="n"/>
      <c r="AB53" s="1" t="n"/>
      <c r="AC53" s="1" t="n"/>
      <c r="AD53" s="1" t="n"/>
    </row>
    <row r="54" ht="22.5" customHeight="1">
      <c r="A54" s="18" t="n"/>
      <c r="B54" s="18" t="n"/>
      <c r="C54" s="18" t="n"/>
      <c r="D54" s="18" t="n"/>
      <c r="E54" s="18" t="n"/>
      <c r="F54" s="18" t="n"/>
      <c r="G54" s="18" t="n"/>
      <c r="H54" s="18" t="n"/>
      <c r="I54" s="18" t="n"/>
      <c r="J54" s="18" t="n"/>
      <c r="K54" s="1" t="n"/>
      <c r="L54" s="1" t="n"/>
      <c r="M54" s="1" t="n"/>
      <c r="N54" s="1" t="n"/>
      <c r="O54" s="1" t="n"/>
      <c r="P54" s="1" t="n"/>
      <c r="Q54" s="1" t="n"/>
      <c r="R54" s="1" t="n"/>
      <c r="S54" s="1" t="n"/>
      <c r="T54" s="1" t="n"/>
      <c r="U54" s="1" t="n"/>
      <c r="V54" s="1" t="n"/>
      <c r="W54" s="1" t="n"/>
      <c r="X54" s="1" t="n"/>
      <c r="Y54" s="1" t="n"/>
      <c r="Z54" s="1" t="n"/>
      <c r="AA54" s="1" t="n"/>
      <c r="AB54" s="1" t="n"/>
      <c r="AC54" s="1" t="n"/>
      <c r="AD54" s="1" t="n"/>
    </row>
    <row r="55" ht="22.5" customHeight="1">
      <c r="A55" s="18" t="n"/>
      <c r="B55" s="18" t="n"/>
      <c r="C55" s="18" t="n"/>
      <c r="D55" s="18" t="n"/>
      <c r="E55" s="18" t="n"/>
      <c r="F55" s="18" t="n"/>
      <c r="G55" s="18" t="n"/>
      <c r="H55" s="18" t="n"/>
      <c r="I55" s="18" t="n"/>
      <c r="J55" s="18" t="n"/>
      <c r="K55" s="1" t="n"/>
      <c r="L55" s="1" t="n"/>
      <c r="M55" s="1" t="n"/>
      <c r="N55" s="1" t="n"/>
      <c r="O55" s="1" t="n"/>
      <c r="P55" s="1" t="n"/>
      <c r="Q55" s="1" t="n"/>
      <c r="R55" s="1" t="n"/>
      <c r="S55" s="1" t="n"/>
      <c r="T55" s="1" t="n"/>
      <c r="U55" s="1" t="n"/>
      <c r="V55" s="1" t="n"/>
      <c r="W55" s="1" t="n"/>
      <c r="X55" s="1" t="n"/>
      <c r="Y55" s="1" t="n"/>
      <c r="Z55" s="1" t="n"/>
      <c r="AA55" s="1" t="n"/>
      <c r="AB55" s="1" t="n"/>
      <c r="AC55" s="1" t="n"/>
      <c r="AD55" s="1" t="n"/>
    </row>
    <row r="56" ht="22.5" customHeight="1">
      <c r="A56" s="18" t="n"/>
      <c r="B56" s="18" t="n"/>
      <c r="C56" s="18" t="n"/>
      <c r="D56" s="18" t="n"/>
      <c r="E56" s="18" t="n"/>
      <c r="F56" s="18" t="n"/>
      <c r="G56" s="18" t="n"/>
      <c r="H56" s="18" t="n"/>
      <c r="I56" s="18" t="n"/>
      <c r="J56" s="18" t="n"/>
      <c r="K56" s="1" t="n"/>
      <c r="L56" s="1" t="n"/>
      <c r="M56" s="1" t="n"/>
      <c r="N56" s="1" t="n"/>
      <c r="O56" s="1" t="n"/>
      <c r="P56" s="1" t="n"/>
      <c r="Q56" s="1" t="n"/>
      <c r="R56" s="1" t="n"/>
      <c r="S56" s="1" t="n"/>
      <c r="T56" s="1" t="n"/>
      <c r="U56" s="1" t="n"/>
      <c r="V56" s="1" t="n"/>
      <c r="W56" s="1" t="n"/>
      <c r="X56" s="1" t="n"/>
      <c r="Y56" s="1" t="n"/>
      <c r="Z56" s="1" t="n"/>
      <c r="AA56" s="1" t="n"/>
      <c r="AB56" s="1" t="n"/>
      <c r="AC56" s="1" t="n"/>
      <c r="AD56" s="1" t="n"/>
    </row>
    <row r="57" ht="22.5" customHeight="1">
      <c r="A57" s="18" t="n"/>
      <c r="B57" s="18" t="n"/>
      <c r="C57" s="18" t="n"/>
      <c r="D57" s="18" t="n"/>
      <c r="E57" s="18" t="n"/>
      <c r="F57" s="18" t="n"/>
      <c r="G57" s="18" t="n"/>
      <c r="H57" s="18" t="n"/>
      <c r="I57" s="18" t="n"/>
      <c r="J57" s="18" t="n"/>
      <c r="K57" s="1" t="n"/>
      <c r="L57" s="1" t="n"/>
      <c r="M57" s="1" t="n"/>
      <c r="N57" s="1" t="n"/>
      <c r="O57" s="1" t="n"/>
      <c r="P57" s="1" t="n"/>
      <c r="Q57" s="1" t="n"/>
      <c r="R57" s="1" t="n"/>
      <c r="S57" s="1" t="n"/>
      <c r="T57" s="1" t="n"/>
      <c r="U57" s="1" t="n"/>
      <c r="V57" s="1" t="n"/>
      <c r="W57" s="1" t="n"/>
      <c r="X57" s="1" t="n"/>
      <c r="Y57" s="1" t="n"/>
      <c r="Z57" s="1" t="n"/>
      <c r="AA57" s="1" t="n"/>
      <c r="AB57" s="1" t="n"/>
      <c r="AC57" s="1" t="n"/>
      <c r="AD57" s="1" t="n"/>
    </row>
    <row r="58" ht="22.5" customHeight="1">
      <c r="A58" s="18" t="n"/>
      <c r="B58" s="18" t="n"/>
      <c r="C58" s="18" t="n"/>
      <c r="D58" s="18" t="n"/>
      <c r="E58" s="18" t="n"/>
      <c r="F58" s="18" t="n"/>
      <c r="G58" s="18" t="n"/>
      <c r="H58" s="18" t="n"/>
      <c r="I58" s="18" t="n"/>
      <c r="J58" s="18" t="n"/>
      <c r="K58" s="1" t="n"/>
      <c r="L58" s="1" t="n"/>
      <c r="M58" s="1" t="n"/>
      <c r="N58" s="1" t="n"/>
      <c r="O58" s="1" t="n"/>
      <c r="P58" s="1" t="n"/>
      <c r="Q58" s="1" t="n"/>
      <c r="R58" s="1" t="n"/>
      <c r="S58" s="1" t="n"/>
      <c r="T58" s="1" t="n"/>
      <c r="U58" s="1" t="n"/>
      <c r="V58" s="1" t="n"/>
      <c r="W58" s="1" t="n"/>
      <c r="X58" s="1" t="n"/>
      <c r="Y58" s="1" t="n"/>
      <c r="Z58" s="1" t="n"/>
      <c r="AA58" s="1" t="n"/>
      <c r="AB58" s="1" t="n"/>
      <c r="AC58" s="1" t="n"/>
      <c r="AD58" s="1" t="n"/>
    </row>
    <row r="59" ht="22.5" customHeight="1">
      <c r="A59" s="18" t="n"/>
      <c r="B59" s="18" t="n"/>
      <c r="C59" s="18" t="n"/>
      <c r="D59" s="18" t="n"/>
      <c r="E59" s="18" t="n"/>
      <c r="F59" s="18" t="n"/>
      <c r="G59" s="18" t="n"/>
      <c r="H59" s="18" t="n"/>
      <c r="I59" s="18" t="n"/>
      <c r="J59" s="18" t="n"/>
      <c r="K59" s="1" t="n"/>
      <c r="L59" s="1" t="n"/>
      <c r="M59" s="1" t="n"/>
      <c r="N59" s="1" t="n"/>
      <c r="O59" s="1" t="n"/>
      <c r="P59" s="1" t="n"/>
      <c r="Q59" s="1" t="n"/>
      <c r="R59" s="1" t="n"/>
      <c r="S59" s="1" t="n"/>
      <c r="T59" s="1" t="n"/>
      <c r="U59" s="1" t="n"/>
      <c r="V59" s="1" t="n"/>
      <c r="W59" s="1" t="n"/>
      <c r="X59" s="1" t="n"/>
      <c r="Y59" s="1" t="n"/>
      <c r="Z59" s="1" t="n"/>
      <c r="AA59" s="1" t="n"/>
      <c r="AB59" s="1" t="n"/>
      <c r="AC59" s="1" t="n"/>
      <c r="AD59" s="1" t="n"/>
    </row>
    <row r="60" ht="22.5" customHeight="1">
      <c r="A60" s="18" t="n"/>
      <c r="B60" s="18" t="n"/>
      <c r="C60" s="18" t="n"/>
      <c r="D60" s="18" t="n"/>
      <c r="E60" s="18" t="n"/>
      <c r="F60" s="18" t="n"/>
      <c r="G60" s="18" t="n"/>
      <c r="H60" s="18" t="n"/>
      <c r="I60" s="18" t="n"/>
      <c r="J60" s="18" t="n"/>
      <c r="K60" s="1" t="n"/>
      <c r="L60" s="1" t="n"/>
      <c r="M60" s="1" t="n"/>
      <c r="N60" s="1" t="n"/>
      <c r="O60" s="1" t="n"/>
      <c r="P60" s="1" t="n"/>
      <c r="Q60" s="1" t="n"/>
      <c r="R60" s="1" t="n"/>
      <c r="S60" s="1" t="n"/>
      <c r="T60" s="1" t="n"/>
      <c r="U60" s="1" t="n"/>
      <c r="V60" s="1" t="n"/>
      <c r="W60" s="1" t="n"/>
      <c r="X60" s="1" t="n"/>
      <c r="Y60" s="1" t="n"/>
      <c r="Z60" s="1" t="n"/>
      <c r="AA60" s="1" t="n"/>
      <c r="AB60" s="1" t="n"/>
      <c r="AC60" s="1" t="n"/>
      <c r="AD60" s="1" t="n"/>
    </row>
    <row r="61" ht="22.5" customHeight="1">
      <c r="A61" s="18" t="n"/>
      <c r="B61" s="18" t="n"/>
      <c r="C61" s="18" t="n"/>
      <c r="D61" s="18" t="n"/>
      <c r="E61" s="18" t="n"/>
      <c r="F61" s="18" t="n"/>
      <c r="G61" s="18" t="n"/>
      <c r="H61" s="18" t="n"/>
      <c r="I61" s="18" t="n"/>
      <c r="J61" s="18" t="n"/>
      <c r="K61" s="1" t="n"/>
      <c r="L61" s="1" t="n"/>
      <c r="M61" s="1" t="n"/>
      <c r="N61" s="1" t="n"/>
      <c r="O61" s="1" t="n"/>
      <c r="P61" s="1" t="n"/>
      <c r="Q61" s="1" t="n"/>
      <c r="R61" s="1" t="n"/>
      <c r="S61" s="1" t="n"/>
      <c r="T61" s="1" t="n"/>
      <c r="U61" s="1" t="n"/>
      <c r="V61" s="1" t="n"/>
      <c r="W61" s="1" t="n"/>
      <c r="X61" s="1" t="n"/>
      <c r="Y61" s="1" t="n"/>
      <c r="Z61" s="1" t="n"/>
      <c r="AA61" s="1" t="n"/>
      <c r="AB61" s="1" t="n"/>
      <c r="AC61" s="1" t="n"/>
      <c r="AD61" s="1" t="n"/>
    </row>
    <row r="62" ht="22.5" customHeight="1">
      <c r="A62" s="18" t="n"/>
      <c r="B62" s="18" t="n"/>
      <c r="C62" s="18" t="n"/>
      <c r="D62" s="18" t="n"/>
      <c r="E62" s="18" t="n"/>
      <c r="F62" s="18" t="n"/>
      <c r="G62" s="18" t="n"/>
      <c r="H62" s="18" t="n"/>
      <c r="I62" s="18" t="n"/>
      <c r="J62" s="18" t="n"/>
      <c r="K62" s="1" t="n"/>
      <c r="L62" s="1" t="n"/>
      <c r="M62" s="1" t="n"/>
      <c r="N62" s="1" t="n"/>
      <c r="O62" s="1" t="n"/>
      <c r="P62" s="1" t="n"/>
      <c r="Q62" s="1" t="n"/>
      <c r="R62" s="1" t="n"/>
      <c r="S62" s="1" t="n"/>
      <c r="T62" s="1" t="n"/>
      <c r="U62" s="1" t="n"/>
      <c r="V62" s="1" t="n"/>
      <c r="W62" s="1" t="n"/>
      <c r="X62" s="1" t="n"/>
      <c r="Y62" s="1" t="n"/>
      <c r="Z62" s="1" t="n"/>
      <c r="AA62" s="1" t="n"/>
      <c r="AB62" s="1" t="n"/>
      <c r="AC62" s="1" t="n"/>
      <c r="AD62" s="1" t="n"/>
    </row>
    <row r="63" ht="22.5" customHeight="1">
      <c r="A63" s="18" t="n"/>
      <c r="B63" s="18" t="n"/>
      <c r="C63" s="18" t="n"/>
      <c r="D63" s="18" t="n"/>
      <c r="E63" s="18" t="n"/>
      <c r="F63" s="18" t="n"/>
      <c r="G63" s="18" t="n"/>
      <c r="H63" s="18" t="n"/>
      <c r="I63" s="18" t="n"/>
      <c r="J63" s="18" t="n"/>
      <c r="K63" s="1" t="n"/>
      <c r="L63" s="1" t="n"/>
      <c r="M63" s="1" t="n"/>
      <c r="N63" s="1" t="n"/>
      <c r="O63" s="1" t="n"/>
      <c r="P63" s="1" t="n"/>
      <c r="Q63" s="1" t="n"/>
      <c r="R63" s="1" t="n"/>
      <c r="S63" s="1" t="n"/>
      <c r="T63" s="1" t="n"/>
      <c r="U63" s="1" t="n"/>
      <c r="V63" s="1" t="n"/>
      <c r="W63" s="1" t="n"/>
      <c r="X63" s="1" t="n"/>
      <c r="Y63" s="1" t="n"/>
      <c r="Z63" s="1" t="n"/>
      <c r="AA63" s="1" t="n"/>
      <c r="AB63" s="1" t="n"/>
      <c r="AC63" s="1" t="n"/>
      <c r="AD63" s="1" t="n"/>
    </row>
    <row r="64" ht="22.5" customHeight="1">
      <c r="A64" s="18" t="n"/>
      <c r="B64" s="18" t="n"/>
      <c r="C64" s="18" t="n"/>
      <c r="D64" s="18" t="n"/>
      <c r="E64" s="18" t="n"/>
      <c r="F64" s="18" t="n"/>
      <c r="G64" s="18" t="n"/>
      <c r="H64" s="18" t="n"/>
      <c r="I64" s="18" t="n"/>
      <c r="J64" s="18" t="n"/>
      <c r="K64" s="1" t="n"/>
      <c r="L64" s="1" t="n"/>
      <c r="M64" s="1" t="n"/>
      <c r="N64" s="1" t="n"/>
      <c r="O64" s="1" t="n"/>
      <c r="P64" s="1" t="n"/>
      <c r="Q64" s="1" t="n"/>
      <c r="R64" s="1" t="n"/>
      <c r="S64" s="1" t="n"/>
      <c r="T64" s="1" t="n"/>
      <c r="U64" s="1" t="n"/>
      <c r="V64" s="1" t="n"/>
      <c r="W64" s="1" t="n"/>
      <c r="X64" s="1" t="n"/>
      <c r="Y64" s="1" t="n"/>
      <c r="Z64" s="1" t="n"/>
      <c r="AA64" s="1" t="n"/>
      <c r="AB64" s="1" t="n"/>
      <c r="AC64" s="1" t="n"/>
      <c r="AD64" s="1" t="n"/>
    </row>
    <row r="65" ht="22.5" customHeight="1">
      <c r="A65" s="18" t="n"/>
      <c r="B65" s="18" t="n"/>
      <c r="C65" s="18" t="n"/>
      <c r="D65" s="18" t="n"/>
      <c r="E65" s="18" t="n"/>
      <c r="F65" s="18" t="n"/>
      <c r="G65" s="18" t="n"/>
      <c r="H65" s="18" t="n"/>
      <c r="I65" s="18" t="n"/>
      <c r="J65" s="18" t="n"/>
      <c r="K65" s="1" t="n"/>
      <c r="L65" s="1" t="n"/>
      <c r="M65" s="1" t="n"/>
      <c r="N65" s="1" t="n"/>
      <c r="O65" s="1" t="n"/>
      <c r="P65" s="1" t="n"/>
      <c r="Q65" s="1" t="n"/>
      <c r="R65" s="1" t="n"/>
      <c r="S65" s="1" t="n"/>
      <c r="T65" s="1" t="n"/>
      <c r="U65" s="1" t="n"/>
      <c r="V65" s="1" t="n"/>
      <c r="W65" s="1" t="n"/>
      <c r="X65" s="1" t="n"/>
      <c r="Y65" s="1" t="n"/>
      <c r="Z65" s="1" t="n"/>
      <c r="AA65" s="1" t="n"/>
      <c r="AB65" s="1" t="n"/>
      <c r="AC65" s="1" t="n"/>
      <c r="AD65" s="1" t="n"/>
    </row>
    <row r="66" ht="13.5" customHeight="1">
      <c r="A66" s="34" t="n"/>
      <c r="B66" s="34" t="n"/>
    </row>
    <row r="67" ht="13.5" customHeight="1">
      <c r="A67" s="34" t="n"/>
      <c r="B67" s="34" t="n"/>
    </row>
    <row r="68" ht="13.5" customHeight="1">
      <c r="A68" s="34" t="n"/>
      <c r="B68" s="34" t="n"/>
    </row>
    <row r="69" ht="13.5" customHeight="1">
      <c r="A69" s="34" t="n"/>
      <c r="B69" s="34" t="n"/>
    </row>
    <row r="70" ht="13.5" customHeight="1">
      <c r="A70" s="34" t="n"/>
      <c r="B70" s="34" t="n"/>
    </row>
    <row r="71" ht="13.5" customHeight="1">
      <c r="A71" s="34" t="n"/>
      <c r="B71" s="34" t="n"/>
    </row>
    <row r="72" ht="13.5" customHeight="1">
      <c r="A72" s="34" t="n"/>
      <c r="B72" s="34" t="n"/>
    </row>
    <row r="73" ht="13.5" customHeight="1">
      <c r="A73" s="34" t="n"/>
      <c r="B73" s="34" t="n"/>
    </row>
    <row r="74" ht="13.5" customHeight="1">
      <c r="A74" s="34" t="n"/>
      <c r="B74" s="34" t="n"/>
    </row>
    <row r="75" ht="13.5" customHeight="1">
      <c r="A75" s="34" t="n"/>
      <c r="B75" s="34" t="n"/>
    </row>
    <row r="76" ht="13.5" customHeight="1">
      <c r="A76" s="34" t="n"/>
      <c r="B76" s="34" t="n"/>
    </row>
    <row r="77" ht="13.5" customHeight="1">
      <c r="A77" s="34" t="n"/>
      <c r="B77" s="34" t="n"/>
    </row>
    <row r="78" ht="13.5" customHeight="1">
      <c r="A78" s="34" t="n"/>
      <c r="B78" s="34" t="n"/>
    </row>
    <row r="79" ht="13.5" customHeight="1">
      <c r="A79" s="34" t="n"/>
      <c r="B79" s="34" t="n"/>
    </row>
    <row r="80" ht="13.5" customHeight="1">
      <c r="A80" s="34" t="n"/>
      <c r="B80" s="34" t="n"/>
    </row>
    <row r="81" ht="13.5" customHeight="1">
      <c r="A81" s="34" t="n"/>
      <c r="B81" s="34" t="n"/>
    </row>
    <row r="82" ht="13.5" customHeight="1">
      <c r="A82" s="34" t="n"/>
      <c r="B82" s="34" t="n"/>
    </row>
    <row r="83" ht="13.5" customHeight="1">
      <c r="A83" s="34" t="n"/>
      <c r="B83" s="34" t="n"/>
    </row>
    <row r="84" ht="13.5" customHeight="1">
      <c r="A84" s="34" t="n"/>
      <c r="B84" s="34" t="n"/>
    </row>
    <row r="85" ht="13.5" customHeight="1">
      <c r="A85" s="34" t="n"/>
      <c r="B85" s="34" t="n"/>
    </row>
    <row r="86" ht="13.5" customHeight="1">
      <c r="A86" s="34" t="n"/>
      <c r="B86" s="34" t="n"/>
    </row>
    <row r="87" ht="13.5" customHeight="1">
      <c r="A87" s="34" t="n"/>
      <c r="B87" s="34" t="n"/>
    </row>
    <row r="88" ht="13.5" customHeight="1">
      <c r="A88" s="34" t="n"/>
      <c r="B88" s="34" t="n"/>
    </row>
    <row r="89" ht="13.5" customHeight="1">
      <c r="A89" s="34" t="n"/>
      <c r="B89" s="34" t="n"/>
    </row>
    <row r="90" ht="13.5" customHeight="1">
      <c r="A90" s="34" t="n"/>
      <c r="B90" s="34" t="n"/>
    </row>
    <row r="91" ht="13.5" customHeight="1">
      <c r="A91" s="34" t="n"/>
      <c r="B91" s="34" t="n"/>
    </row>
    <row r="92" ht="13.5" customHeight="1">
      <c r="A92" s="34" t="n"/>
      <c r="B92" s="34" t="n"/>
    </row>
    <row r="93" ht="13.5" customHeight="1">
      <c r="A93" s="34" t="n"/>
      <c r="B93" s="34" t="n"/>
    </row>
    <row r="94" ht="13.5" customHeight="1">
      <c r="A94" s="34" t="n"/>
      <c r="B94" s="34" t="n"/>
    </row>
    <row r="95" ht="13.5" customHeight="1">
      <c r="A95" s="34" t="n"/>
      <c r="B95" s="34" t="n"/>
    </row>
    <row r="96" ht="13.5" customHeight="1">
      <c r="A96" s="34" t="n"/>
      <c r="B96" s="34" t="n"/>
    </row>
    <row r="97" ht="13.5" customHeight="1">
      <c r="A97" s="34" t="n"/>
      <c r="B97" s="34" t="n"/>
    </row>
    <row r="98" ht="13.5" customHeight="1">
      <c r="A98" s="34" t="n"/>
      <c r="B98" s="34" t="n"/>
    </row>
    <row r="99" ht="13.5" customHeight="1">
      <c r="A99" s="34" t="n"/>
      <c r="B99" s="34" t="n"/>
    </row>
    <row r="100" ht="13.5" customHeight="1">
      <c r="A100" s="34" t="n"/>
      <c r="B100" s="34" t="n"/>
    </row>
    <row r="101" ht="13.5" customHeight="1">
      <c r="A101" s="34" t="n"/>
      <c r="B101" s="34" t="n"/>
    </row>
    <row r="102" ht="13.5" customHeight="1">
      <c r="A102" s="34" t="n"/>
      <c r="B102" s="34" t="n"/>
    </row>
    <row r="103" ht="13.5" customHeight="1">
      <c r="A103" s="34" t="n"/>
      <c r="B103" s="34" t="n"/>
    </row>
    <row r="104" ht="13.5" customHeight="1">
      <c r="A104" s="34" t="n"/>
      <c r="B104" s="34" t="n"/>
    </row>
    <row r="105" ht="13.5" customHeight="1">
      <c r="A105" s="34" t="n"/>
      <c r="B105" s="34" t="n"/>
    </row>
    <row r="106" ht="13.5" customHeight="1">
      <c r="A106" s="34" t="n"/>
      <c r="B106" s="34" t="n"/>
    </row>
    <row r="107" ht="13.5" customHeight="1">
      <c r="A107" s="34" t="n"/>
      <c r="B107" s="34" t="n"/>
    </row>
    <row r="108" ht="13.5" customHeight="1">
      <c r="A108" s="34" t="n"/>
      <c r="B108" s="34" t="n"/>
    </row>
    <row r="109" ht="13.5" customHeight="1">
      <c r="A109" s="34" t="n"/>
      <c r="B109" s="34" t="n"/>
    </row>
    <row r="110" ht="13.5" customHeight="1">
      <c r="A110" s="34" t="n"/>
      <c r="B110" s="34" t="n"/>
    </row>
    <row r="111" ht="13.5" customHeight="1">
      <c r="A111" s="34" t="n"/>
      <c r="B111" s="34" t="n"/>
    </row>
    <row r="112" ht="13.5" customHeight="1">
      <c r="A112" s="34" t="n"/>
      <c r="B112" s="34" t="n"/>
    </row>
    <row r="113" ht="13.5" customHeight="1">
      <c r="A113" s="34" t="n"/>
      <c r="B113" s="34" t="n"/>
    </row>
    <row r="114" ht="13.5" customHeight="1">
      <c r="A114" s="34" t="n"/>
      <c r="B114" s="34" t="n"/>
    </row>
    <row r="115" ht="13.5" customHeight="1">
      <c r="A115" s="34" t="n"/>
      <c r="B115" s="34" t="n"/>
    </row>
    <row r="116" ht="13.5" customHeight="1">
      <c r="A116" s="34" t="n"/>
      <c r="B116" s="34" t="n"/>
    </row>
    <row r="117" ht="13.5" customHeight="1">
      <c r="A117" s="34" t="n"/>
      <c r="B117" s="34" t="n"/>
    </row>
    <row r="118" ht="13.5" customHeight="1">
      <c r="A118" s="34" t="n"/>
      <c r="B118" s="34" t="n"/>
    </row>
    <row r="119" ht="13.5" customHeight="1">
      <c r="A119" s="34" t="n"/>
      <c r="B119" s="34" t="n"/>
    </row>
    <row r="120" ht="13.5" customHeight="1">
      <c r="A120" s="34" t="n"/>
      <c r="B120" s="34" t="n"/>
    </row>
    <row r="121" ht="13.5" customHeight="1">
      <c r="A121" s="34" t="n"/>
      <c r="B121" s="34" t="n"/>
    </row>
    <row r="122" ht="13.5" customHeight="1">
      <c r="A122" s="34" t="n"/>
      <c r="B122" s="34" t="n"/>
    </row>
    <row r="123" ht="13.5" customHeight="1">
      <c r="A123" s="34" t="n"/>
      <c r="B123" s="34" t="n"/>
    </row>
    <row r="124" ht="13.5" customHeight="1">
      <c r="A124" s="34" t="n"/>
      <c r="B124" s="34" t="n"/>
    </row>
    <row r="125" ht="13.5" customHeight="1">
      <c r="A125" s="34" t="n"/>
      <c r="B125" s="34" t="n"/>
    </row>
    <row r="126" ht="13.5" customHeight="1">
      <c r="A126" s="34" t="n"/>
      <c r="B126" s="34" t="n"/>
    </row>
    <row r="127" ht="13.5" customHeight="1">
      <c r="A127" s="34" t="n"/>
      <c r="B127" s="34" t="n"/>
    </row>
    <row r="128" ht="13.5" customHeight="1">
      <c r="A128" s="34" t="n"/>
      <c r="B128" s="34" t="n"/>
    </row>
    <row r="129" ht="13.5" customHeight="1">
      <c r="A129" s="34" t="n"/>
      <c r="B129" s="34" t="n"/>
    </row>
    <row r="130" ht="13.5" customHeight="1">
      <c r="A130" s="34" t="n"/>
      <c r="B130" s="34" t="n"/>
    </row>
    <row r="131" ht="13.5" customHeight="1">
      <c r="A131" s="34" t="n"/>
      <c r="B131" s="34" t="n"/>
    </row>
    <row r="132" ht="13.5" customHeight="1">
      <c r="A132" s="34" t="n"/>
      <c r="B132" s="34" t="n"/>
    </row>
    <row r="133" ht="13.5" customHeight="1">
      <c r="A133" s="34" t="n"/>
      <c r="B133" s="34" t="n"/>
    </row>
    <row r="134" ht="13.5" customHeight="1">
      <c r="A134" s="34" t="n"/>
      <c r="B134" s="34" t="n"/>
    </row>
    <row r="135" ht="13.5" customHeight="1">
      <c r="A135" s="34" t="n"/>
      <c r="B135" s="34" t="n"/>
    </row>
    <row r="136" ht="13.5" customHeight="1">
      <c r="A136" s="34" t="n"/>
      <c r="B136" s="34" t="n"/>
    </row>
    <row r="137" ht="13.5" customHeight="1">
      <c r="A137" s="34" t="n"/>
      <c r="B137" s="34" t="n"/>
    </row>
    <row r="138" ht="13.5" customHeight="1">
      <c r="A138" s="34" t="n"/>
      <c r="B138" s="34" t="n"/>
    </row>
    <row r="139" ht="13.5" customHeight="1">
      <c r="A139" s="34" t="n"/>
      <c r="B139" s="34" t="n"/>
    </row>
    <row r="140" ht="13.5" customHeight="1">
      <c r="A140" s="34" t="n"/>
      <c r="B140" s="34" t="n"/>
    </row>
    <row r="141" ht="13.5" customHeight="1">
      <c r="A141" s="34" t="n"/>
      <c r="B141" s="34" t="n"/>
    </row>
    <row r="142" ht="13.5" customHeight="1">
      <c r="A142" s="34" t="n"/>
      <c r="B142" s="34" t="n"/>
    </row>
    <row r="143" ht="13.5" customHeight="1">
      <c r="A143" s="34" t="n"/>
      <c r="B143" s="34" t="n"/>
    </row>
    <row r="144" ht="13.5" customHeight="1">
      <c r="A144" s="34" t="n"/>
      <c r="B144" s="34" t="n"/>
    </row>
    <row r="145" ht="13.5" customHeight="1">
      <c r="A145" s="34" t="n"/>
      <c r="B145" s="34" t="n"/>
    </row>
    <row r="146" ht="13.5" customHeight="1">
      <c r="A146" s="34" t="n"/>
      <c r="B146" s="34" t="n"/>
    </row>
    <row r="147" ht="13.5" customHeight="1">
      <c r="A147" s="34" t="n"/>
      <c r="B147" s="34" t="n"/>
    </row>
    <row r="148" ht="13.5" customHeight="1">
      <c r="A148" s="34" t="n"/>
      <c r="B148" s="34" t="n"/>
    </row>
    <row r="149" ht="13.5" customHeight="1">
      <c r="A149" s="34" t="n"/>
      <c r="B149" s="34" t="n"/>
    </row>
    <row r="150" ht="13.5" customHeight="1">
      <c r="A150" s="34" t="n"/>
      <c r="B150" s="34" t="n"/>
    </row>
    <row r="151" ht="13.5" customHeight="1">
      <c r="A151" s="34" t="n"/>
      <c r="B151" s="34" t="n"/>
    </row>
    <row r="152" ht="13.5" customHeight="1">
      <c r="A152" s="34" t="n"/>
      <c r="B152" s="34" t="n"/>
    </row>
    <row r="153" ht="13.5" customHeight="1">
      <c r="A153" s="34" t="n"/>
      <c r="B153" s="34" t="n"/>
    </row>
    <row r="154" ht="13.5" customHeight="1">
      <c r="A154" s="34" t="n"/>
      <c r="B154" s="34" t="n"/>
    </row>
    <row r="155" ht="13.5" customHeight="1">
      <c r="A155" s="34" t="n"/>
      <c r="B155" s="34" t="n"/>
    </row>
    <row r="156" ht="13.5" customHeight="1">
      <c r="A156" s="34" t="n"/>
      <c r="B156" s="34" t="n"/>
    </row>
    <row r="157" ht="13.5" customHeight="1">
      <c r="A157" s="34" t="n"/>
      <c r="B157" s="34" t="n"/>
    </row>
    <row r="158" ht="13.5" customHeight="1">
      <c r="A158" s="34" t="n"/>
      <c r="B158" s="34" t="n"/>
    </row>
    <row r="159" ht="13.5" customHeight="1">
      <c r="A159" s="34" t="n"/>
      <c r="B159" s="34" t="n"/>
    </row>
    <row r="160" ht="13.5" customHeight="1">
      <c r="A160" s="34" t="n"/>
      <c r="B160" s="34" t="n"/>
    </row>
    <row r="161" ht="13.5" customHeight="1">
      <c r="A161" s="34" t="n"/>
      <c r="B161" s="34" t="n"/>
    </row>
    <row r="162" ht="13.5" customHeight="1">
      <c r="A162" s="34" t="n"/>
      <c r="B162" s="34" t="n"/>
    </row>
    <row r="163" ht="13.5" customHeight="1">
      <c r="A163" s="34" t="n"/>
      <c r="B163" s="34" t="n"/>
    </row>
    <row r="164" ht="13.5" customHeight="1">
      <c r="A164" s="34" t="n"/>
      <c r="B164" s="34" t="n"/>
    </row>
    <row r="165" ht="13.5" customHeight="1">
      <c r="A165" s="34" t="n"/>
      <c r="B165" s="34" t="n"/>
    </row>
    <row r="166" ht="13.5" customHeight="1">
      <c r="A166" s="34" t="n"/>
      <c r="B166" s="34" t="n"/>
    </row>
    <row r="167" ht="13.5" customHeight="1">
      <c r="A167" s="34" t="n"/>
      <c r="B167" s="34" t="n"/>
    </row>
    <row r="168" ht="13.5" customHeight="1">
      <c r="A168" s="34" t="n"/>
      <c r="B168" s="34" t="n"/>
    </row>
    <row r="169" ht="13.5" customHeight="1">
      <c r="A169" s="34" t="n"/>
      <c r="B169" s="34" t="n"/>
    </row>
    <row r="170" ht="13.5" customHeight="1">
      <c r="A170" s="34" t="n"/>
      <c r="B170" s="34" t="n"/>
    </row>
    <row r="171" ht="13.5" customHeight="1">
      <c r="A171" s="34" t="n"/>
      <c r="B171" s="34" t="n"/>
    </row>
    <row r="172" ht="13.5" customHeight="1">
      <c r="A172" s="34" t="n"/>
      <c r="B172" s="34" t="n"/>
    </row>
    <row r="173" ht="13.5" customHeight="1">
      <c r="A173" s="34" t="n"/>
      <c r="B173" s="34" t="n"/>
    </row>
    <row r="174" ht="13.5" customHeight="1">
      <c r="A174" s="34" t="n"/>
      <c r="B174" s="34" t="n"/>
    </row>
    <row r="175" ht="13.5" customHeight="1">
      <c r="A175" s="34" t="n"/>
      <c r="B175" s="34" t="n"/>
    </row>
    <row r="176" ht="13.5" customHeight="1">
      <c r="A176" s="34" t="n"/>
      <c r="B176" s="34" t="n"/>
    </row>
    <row r="177" ht="13.5" customHeight="1">
      <c r="A177" s="34" t="n"/>
      <c r="B177" s="34" t="n"/>
    </row>
    <row r="178" ht="13.5" customHeight="1">
      <c r="A178" s="34" t="n"/>
      <c r="B178" s="34" t="n"/>
    </row>
    <row r="179" ht="13.5" customHeight="1">
      <c r="A179" s="34" t="n"/>
      <c r="B179" s="34" t="n"/>
    </row>
    <row r="180" ht="13.5" customHeight="1">
      <c r="A180" s="34" t="n"/>
      <c r="B180" s="34" t="n"/>
    </row>
    <row r="181" ht="13.5" customHeight="1">
      <c r="A181" s="34" t="n"/>
      <c r="B181" s="34" t="n"/>
    </row>
    <row r="182" ht="13.5" customHeight="1">
      <c r="A182" s="34" t="n"/>
      <c r="B182" s="34" t="n"/>
    </row>
    <row r="183" ht="13.5" customHeight="1">
      <c r="A183" s="34" t="n"/>
      <c r="B183" s="34" t="n"/>
    </row>
    <row r="184" ht="13.5" customHeight="1">
      <c r="A184" s="34" t="n"/>
      <c r="B184" s="34" t="n"/>
    </row>
    <row r="185" ht="13.5" customHeight="1">
      <c r="A185" s="34" t="n"/>
      <c r="B185" s="34" t="n"/>
    </row>
    <row r="186" ht="13.5" customHeight="1">
      <c r="A186" s="34" t="n"/>
      <c r="B186" s="34" t="n"/>
    </row>
    <row r="187" ht="13.5" customHeight="1">
      <c r="A187" s="34" t="n"/>
      <c r="B187" s="34" t="n"/>
    </row>
    <row r="188" ht="13.5" customHeight="1">
      <c r="A188" s="34" t="n"/>
      <c r="B188" s="34" t="n"/>
    </row>
    <row r="189" ht="13.5" customHeight="1">
      <c r="A189" s="34" t="n"/>
      <c r="B189" s="34" t="n"/>
    </row>
    <row r="190" ht="13.5" customHeight="1">
      <c r="A190" s="34" t="n"/>
      <c r="B190" s="34" t="n"/>
    </row>
    <row r="191" ht="13.5" customHeight="1">
      <c r="A191" s="34" t="n"/>
      <c r="B191" s="34" t="n"/>
    </row>
    <row r="192" ht="13.5" customHeight="1">
      <c r="A192" s="34" t="n"/>
      <c r="B192" s="34" t="n"/>
    </row>
    <row r="193" ht="13.5" customHeight="1">
      <c r="A193" s="34" t="n"/>
      <c r="B193" s="34" t="n"/>
    </row>
    <row r="194" ht="13.5" customHeight="1">
      <c r="A194" s="34" t="n"/>
      <c r="B194" s="34" t="n"/>
    </row>
    <row r="195" ht="13.5" customHeight="1">
      <c r="A195" s="34" t="n"/>
      <c r="B195" s="34" t="n"/>
    </row>
    <row r="196" ht="13.5" customHeight="1">
      <c r="A196" s="34" t="n"/>
      <c r="B196" s="34" t="n"/>
    </row>
    <row r="197" ht="13.5" customHeight="1">
      <c r="A197" s="34" t="n"/>
      <c r="B197" s="34" t="n"/>
    </row>
    <row r="198" ht="13.5" customHeight="1">
      <c r="A198" s="34" t="n"/>
      <c r="B198" s="34" t="n"/>
    </row>
    <row r="199" ht="13.5" customHeight="1">
      <c r="A199" s="34" t="n"/>
      <c r="B199" s="34" t="n"/>
    </row>
    <row r="200" ht="13.5" customHeight="1">
      <c r="A200" s="34" t="n"/>
      <c r="B200" s="34" t="n"/>
    </row>
    <row r="201" ht="13.5" customHeight="1">
      <c r="A201" s="34" t="n"/>
      <c r="B201" s="34" t="n"/>
    </row>
    <row r="202" ht="13.5" customHeight="1">
      <c r="A202" s="34" t="n"/>
      <c r="B202" s="34" t="n"/>
    </row>
    <row r="203" ht="13.5" customHeight="1">
      <c r="A203" s="34" t="n"/>
      <c r="B203" s="34" t="n"/>
    </row>
    <row r="204" ht="13.5" customHeight="1">
      <c r="A204" s="34" t="n"/>
      <c r="B204" s="34" t="n"/>
    </row>
    <row r="205" ht="13.5" customHeight="1">
      <c r="A205" s="34" t="n"/>
      <c r="B205" s="34" t="n"/>
    </row>
    <row r="206" ht="13.5" customHeight="1">
      <c r="A206" s="34" t="n"/>
      <c r="B206" s="34" t="n"/>
    </row>
    <row r="207" ht="13.5" customHeight="1">
      <c r="A207" s="34" t="n"/>
      <c r="B207" s="34" t="n"/>
    </row>
    <row r="208" ht="13.5" customHeight="1">
      <c r="A208" s="34" t="n"/>
      <c r="B208" s="34" t="n"/>
    </row>
    <row r="209" ht="13.5" customHeight="1">
      <c r="A209" s="34" t="n"/>
      <c r="B209" s="34" t="n"/>
    </row>
    <row r="210" ht="13.5" customHeight="1">
      <c r="A210" s="34" t="n"/>
      <c r="B210" s="34" t="n"/>
    </row>
    <row r="211" ht="13.5" customHeight="1">
      <c r="A211" s="34" t="n"/>
      <c r="B211" s="34" t="n"/>
    </row>
    <row r="212" ht="13.5" customHeight="1">
      <c r="A212" s="34" t="n"/>
      <c r="B212" s="34" t="n"/>
    </row>
    <row r="213" ht="13.5" customHeight="1">
      <c r="A213" s="34" t="n"/>
      <c r="B213" s="34" t="n"/>
    </row>
    <row r="214" ht="13.5" customHeight="1">
      <c r="A214" s="34" t="n"/>
      <c r="B214" s="34" t="n"/>
    </row>
    <row r="215" ht="13.5" customHeight="1">
      <c r="A215" s="34" t="n"/>
      <c r="B215" s="34" t="n"/>
    </row>
    <row r="216" ht="13.5" customHeight="1">
      <c r="A216" s="34" t="n"/>
      <c r="B216" s="34" t="n"/>
    </row>
    <row r="217" ht="13.5" customHeight="1">
      <c r="A217" s="34" t="n"/>
      <c r="B217" s="34" t="n"/>
    </row>
    <row r="218" ht="13.5" customHeight="1">
      <c r="A218" s="34" t="n"/>
      <c r="B218" s="34" t="n"/>
    </row>
    <row r="219" ht="13.5" customHeight="1">
      <c r="A219" s="34" t="n"/>
      <c r="B219" s="34" t="n"/>
    </row>
    <row r="220" ht="13.5" customHeight="1">
      <c r="A220" s="34" t="n"/>
      <c r="B220" s="34" t="n"/>
    </row>
    <row r="221" ht="13.5" customHeight="1">
      <c r="A221" s="34" t="n"/>
      <c r="B221" s="34" t="n"/>
    </row>
    <row r="222" ht="13.5" customHeight="1">
      <c r="A222" s="34" t="n"/>
      <c r="B222" s="34" t="n"/>
    </row>
    <row r="223" ht="13.5" customHeight="1">
      <c r="A223" s="34" t="n"/>
      <c r="B223" s="34" t="n"/>
    </row>
    <row r="224" ht="13.5" customHeight="1">
      <c r="A224" s="34" t="n"/>
      <c r="B224" s="34" t="n"/>
    </row>
    <row r="225" ht="13.5" customHeight="1">
      <c r="A225" s="34" t="n"/>
      <c r="B225" s="34" t="n"/>
    </row>
    <row r="226" ht="13.5" customHeight="1">
      <c r="A226" s="34" t="n"/>
      <c r="B226" s="34" t="n"/>
    </row>
    <row r="227" ht="13.5" customHeight="1">
      <c r="A227" s="34" t="n"/>
      <c r="B227" s="34" t="n"/>
    </row>
    <row r="228" ht="13.5" customHeight="1">
      <c r="A228" s="34" t="n"/>
      <c r="B228" s="34" t="n"/>
    </row>
    <row r="229" ht="13.5" customHeight="1">
      <c r="A229" s="34" t="n"/>
      <c r="B229" s="34" t="n"/>
    </row>
    <row r="230" ht="13.5" customHeight="1">
      <c r="A230" s="34" t="n"/>
      <c r="B230" s="34" t="n"/>
    </row>
    <row r="231" ht="13.5" customHeight="1">
      <c r="A231" s="34" t="n"/>
      <c r="B231" s="34" t="n"/>
    </row>
    <row r="232" ht="13.5" customHeight="1">
      <c r="A232" s="34" t="n"/>
      <c r="B232" s="34" t="n"/>
    </row>
    <row r="233" ht="13.5" customHeight="1">
      <c r="A233" s="34" t="n"/>
      <c r="B233" s="34" t="n"/>
    </row>
    <row r="234" ht="13.5" customHeight="1">
      <c r="A234" s="34" t="n"/>
      <c r="B234" s="34" t="n"/>
    </row>
    <row r="235" ht="13.5" customHeight="1">
      <c r="A235" s="34" t="n"/>
      <c r="B235" s="34" t="n"/>
    </row>
    <row r="236" ht="13.5" customHeight="1">
      <c r="A236" s="34" t="n"/>
      <c r="B236" s="34" t="n"/>
    </row>
    <row r="237" ht="13.5" customHeight="1">
      <c r="A237" s="34" t="n"/>
      <c r="B237" s="34" t="n"/>
    </row>
    <row r="238" ht="13.5" customHeight="1">
      <c r="A238" s="34" t="n"/>
      <c r="B238" s="34" t="n"/>
    </row>
    <row r="239" ht="13.5" customHeight="1">
      <c r="A239" s="34" t="n"/>
      <c r="B239" s="34" t="n"/>
    </row>
    <row r="240" ht="13.5" customHeight="1">
      <c r="A240" s="34" t="n"/>
      <c r="B240" s="34" t="n"/>
    </row>
    <row r="241" ht="13.5" customHeight="1">
      <c r="A241" s="34" t="n"/>
      <c r="B241" s="34" t="n"/>
    </row>
    <row r="242" ht="13.5" customHeight="1">
      <c r="A242" s="34" t="n"/>
      <c r="B242" s="34" t="n"/>
    </row>
    <row r="243" ht="13.5" customHeight="1">
      <c r="A243" s="34" t="n"/>
      <c r="B243" s="34" t="n"/>
    </row>
    <row r="244" ht="13.5" customHeight="1">
      <c r="A244" s="34" t="n"/>
      <c r="B244" s="34" t="n"/>
    </row>
    <row r="245" ht="13.5" customHeight="1">
      <c r="A245" s="34" t="n"/>
      <c r="B245" s="34" t="n"/>
    </row>
    <row r="246" ht="13.5" customHeight="1">
      <c r="A246" s="34" t="n"/>
      <c r="B246" s="34" t="n"/>
    </row>
    <row r="247" ht="13.5" customHeight="1">
      <c r="A247" s="34" t="n"/>
      <c r="B247" s="34" t="n"/>
    </row>
    <row r="248" ht="13.5" customHeight="1">
      <c r="A248" s="34" t="n"/>
      <c r="B248" s="34" t="n"/>
    </row>
    <row r="249" ht="13.5" customHeight="1">
      <c r="A249" s="34" t="n"/>
      <c r="B249" s="34" t="n"/>
    </row>
    <row r="250" ht="13.5" customHeight="1">
      <c r="A250" s="34" t="n"/>
      <c r="B250" s="34" t="n"/>
    </row>
    <row r="251" ht="13.5" customHeight="1">
      <c r="A251" s="34" t="n"/>
      <c r="B251" s="34" t="n"/>
    </row>
    <row r="252" ht="13.5" customHeight="1">
      <c r="A252" s="34" t="n"/>
      <c r="B252" s="34" t="n"/>
    </row>
    <row r="253" ht="13.5" customHeight="1">
      <c r="A253" s="34" t="n"/>
      <c r="B253" s="34" t="n"/>
    </row>
    <row r="254" ht="13.5" customHeight="1">
      <c r="A254" s="34" t="n"/>
      <c r="B254" s="34" t="n"/>
    </row>
    <row r="255" ht="13.5" customHeight="1">
      <c r="A255" s="34" t="n"/>
      <c r="B255" s="34" t="n"/>
    </row>
    <row r="256" ht="13.5" customHeight="1">
      <c r="A256" s="34" t="n"/>
      <c r="B256" s="34" t="n"/>
    </row>
    <row r="257" ht="13.5" customHeight="1">
      <c r="A257" s="34" t="n"/>
      <c r="B257" s="34" t="n"/>
    </row>
    <row r="258" ht="13.5" customHeight="1">
      <c r="A258" s="34" t="n"/>
      <c r="B258" s="34" t="n"/>
    </row>
    <row r="259" ht="13.5" customHeight="1">
      <c r="A259" s="34" t="n"/>
      <c r="B259" s="34" t="n"/>
    </row>
    <row r="260" ht="13.5" customHeight="1">
      <c r="A260" s="34" t="n"/>
      <c r="B260" s="34" t="n"/>
    </row>
    <row r="261" ht="13.5" customHeight="1">
      <c r="A261" s="34" t="n"/>
      <c r="B261" s="34" t="n"/>
    </row>
    <row r="262" ht="13.5" customHeight="1">
      <c r="A262" s="34" t="n"/>
      <c r="B262" s="34" t="n"/>
    </row>
    <row r="263" ht="13.5" customHeight="1">
      <c r="A263" s="34" t="n"/>
      <c r="B263" s="34" t="n"/>
    </row>
    <row r="264" ht="13.5" customHeight="1">
      <c r="A264" s="34" t="n"/>
      <c r="B264" s="34" t="n"/>
    </row>
    <row r="265" ht="13.5" customHeight="1">
      <c r="A265" s="34" t="n"/>
      <c r="B265" s="34" t="n"/>
    </row>
    <row r="266" ht="13.5" customHeight="1">
      <c r="A266" s="34" t="n"/>
      <c r="B266" s="34" t="n"/>
    </row>
    <row r="267" ht="13.5" customHeight="1">
      <c r="A267" s="34" t="n"/>
      <c r="B267" s="34" t="n"/>
    </row>
    <row r="268" ht="13.5" customHeight="1">
      <c r="A268" s="34" t="n"/>
      <c r="B268" s="34" t="n"/>
    </row>
    <row r="269" ht="13.5" customHeight="1">
      <c r="A269" s="34" t="n"/>
      <c r="B269" s="34" t="n"/>
    </row>
    <row r="270" ht="13.5" customHeight="1">
      <c r="A270" s="34" t="n"/>
      <c r="B270" s="34" t="n"/>
    </row>
    <row r="271" ht="13.5" customHeight="1">
      <c r="A271" s="34" t="n"/>
      <c r="B271" s="34" t="n"/>
    </row>
    <row r="272" ht="13.5" customHeight="1">
      <c r="A272" s="34" t="n"/>
      <c r="B272" s="34" t="n"/>
    </row>
    <row r="273" ht="13.5" customHeight="1">
      <c r="A273" s="34" t="n"/>
      <c r="B273" s="34" t="n"/>
    </row>
    <row r="274" ht="13.5" customHeight="1">
      <c r="A274" s="34" t="n"/>
      <c r="B274" s="34" t="n"/>
    </row>
    <row r="275" ht="13.5" customHeight="1">
      <c r="A275" s="34" t="n"/>
      <c r="B275" s="34" t="n"/>
    </row>
    <row r="276" ht="13.5" customHeight="1">
      <c r="A276" s="34" t="n"/>
      <c r="B276" s="34" t="n"/>
    </row>
    <row r="277" ht="13.5" customHeight="1">
      <c r="A277" s="34" t="n"/>
      <c r="B277" s="34" t="n"/>
    </row>
    <row r="278" ht="13.5" customHeight="1">
      <c r="A278" s="34" t="n"/>
      <c r="B278" s="34" t="n"/>
    </row>
    <row r="279" ht="13.5" customHeight="1">
      <c r="A279" s="34" t="n"/>
      <c r="B279" s="34" t="n"/>
    </row>
    <row r="280" ht="13.5" customHeight="1">
      <c r="A280" s="34" t="n"/>
      <c r="B280" s="34" t="n"/>
    </row>
    <row r="281" ht="13.5" customHeight="1">
      <c r="A281" s="34" t="n"/>
      <c r="B281" s="34" t="n"/>
    </row>
    <row r="282" ht="13.5" customHeight="1">
      <c r="A282" s="34" t="n"/>
      <c r="B282" s="34" t="n"/>
    </row>
    <row r="283" ht="13.5" customHeight="1">
      <c r="A283" s="34" t="n"/>
      <c r="B283" s="34" t="n"/>
    </row>
    <row r="284" ht="13.5" customHeight="1">
      <c r="A284" s="34" t="n"/>
      <c r="B284" s="34" t="n"/>
    </row>
    <row r="285" ht="13.5" customHeight="1">
      <c r="A285" s="34" t="n"/>
      <c r="B285" s="34" t="n"/>
    </row>
    <row r="286" ht="13.5" customHeight="1">
      <c r="A286" s="34" t="n"/>
      <c r="B286" s="34" t="n"/>
    </row>
    <row r="287" ht="13.5" customHeight="1">
      <c r="A287" s="34" t="n"/>
      <c r="B287" s="34" t="n"/>
    </row>
    <row r="288" ht="13.5" customHeight="1">
      <c r="A288" s="34" t="n"/>
      <c r="B288" s="34" t="n"/>
    </row>
    <row r="289" ht="13.5" customHeight="1">
      <c r="A289" s="34" t="n"/>
      <c r="B289" s="34" t="n"/>
    </row>
    <row r="290" ht="13.5" customHeight="1">
      <c r="A290" s="34" t="n"/>
      <c r="B290" s="34" t="n"/>
    </row>
    <row r="291" ht="13.5" customHeight="1">
      <c r="A291" s="34" t="n"/>
      <c r="B291" s="34" t="n"/>
    </row>
    <row r="292" ht="13.5" customHeight="1">
      <c r="A292" s="34" t="n"/>
      <c r="B292" s="34" t="n"/>
    </row>
    <row r="293" ht="13.5" customHeight="1">
      <c r="A293" s="34" t="n"/>
      <c r="B293" s="34" t="n"/>
    </row>
    <row r="294" ht="13.5" customHeight="1">
      <c r="A294" s="34" t="n"/>
      <c r="B294" s="34" t="n"/>
    </row>
    <row r="295" ht="13.5" customHeight="1">
      <c r="A295" s="34" t="n"/>
      <c r="B295" s="34" t="n"/>
    </row>
    <row r="296" ht="13.5" customHeight="1">
      <c r="A296" s="34" t="n"/>
      <c r="B296" s="34" t="n"/>
    </row>
    <row r="297" ht="13.5" customHeight="1">
      <c r="A297" s="34" t="n"/>
      <c r="B297" s="34" t="n"/>
    </row>
    <row r="298" ht="13.5" customHeight="1">
      <c r="A298" s="34" t="n"/>
      <c r="B298" s="34" t="n"/>
    </row>
    <row r="299" ht="13.5" customHeight="1">
      <c r="A299" s="34" t="n"/>
      <c r="B299" s="34" t="n"/>
    </row>
    <row r="300" ht="13.5" customHeight="1">
      <c r="A300" s="34" t="n"/>
      <c r="B300" s="34" t="n"/>
    </row>
    <row r="301" ht="13.5" customHeight="1">
      <c r="A301" s="34" t="n"/>
      <c r="B301" s="34" t="n"/>
    </row>
    <row r="302" ht="13.5" customHeight="1">
      <c r="A302" s="34" t="n"/>
      <c r="B302" s="34" t="n"/>
    </row>
    <row r="303" ht="13.5" customHeight="1">
      <c r="A303" s="34" t="n"/>
      <c r="B303" s="34" t="n"/>
    </row>
    <row r="304" ht="13.5" customHeight="1">
      <c r="A304" s="34" t="n"/>
      <c r="B304" s="34" t="n"/>
    </row>
    <row r="305" ht="13.5" customHeight="1">
      <c r="A305" s="34" t="n"/>
      <c r="B305" s="34" t="n"/>
    </row>
    <row r="306" ht="13.5" customHeight="1">
      <c r="A306" s="34" t="n"/>
      <c r="B306" s="34" t="n"/>
    </row>
    <row r="307" ht="13.5" customHeight="1">
      <c r="A307" s="34" t="n"/>
      <c r="B307" s="34" t="n"/>
    </row>
    <row r="308" ht="13.5" customHeight="1">
      <c r="A308" s="34" t="n"/>
      <c r="B308" s="34" t="n"/>
    </row>
    <row r="309" ht="13.5" customHeight="1">
      <c r="A309" s="34" t="n"/>
      <c r="B309" s="34" t="n"/>
    </row>
    <row r="310" ht="13.5" customHeight="1">
      <c r="A310" s="34" t="n"/>
      <c r="B310" s="34" t="n"/>
    </row>
    <row r="311" ht="13.5" customHeight="1">
      <c r="A311" s="34" t="n"/>
      <c r="B311" s="34" t="n"/>
    </row>
    <row r="312" ht="13.5" customHeight="1">
      <c r="A312" s="34" t="n"/>
      <c r="B312" s="34" t="n"/>
    </row>
    <row r="313" ht="13.5" customHeight="1">
      <c r="A313" s="34" t="n"/>
      <c r="B313" s="34" t="n"/>
    </row>
    <row r="314" ht="13.5" customHeight="1">
      <c r="A314" s="34" t="n"/>
      <c r="B314" s="34" t="n"/>
    </row>
    <row r="315" ht="13.5" customHeight="1">
      <c r="A315" s="34" t="n"/>
      <c r="B315" s="34" t="n"/>
    </row>
    <row r="316" ht="13.5" customHeight="1">
      <c r="A316" s="34" t="n"/>
      <c r="B316" s="34" t="n"/>
    </row>
    <row r="317" ht="13.5" customHeight="1">
      <c r="A317" s="34" t="n"/>
      <c r="B317" s="34" t="n"/>
    </row>
    <row r="318" ht="13.5" customHeight="1">
      <c r="A318" s="34" t="n"/>
      <c r="B318" s="34" t="n"/>
    </row>
    <row r="319" ht="13.5" customHeight="1">
      <c r="A319" s="34" t="n"/>
      <c r="B319" s="34" t="n"/>
    </row>
    <row r="320" ht="13.5" customHeight="1">
      <c r="A320" s="34" t="n"/>
      <c r="B320" s="34" t="n"/>
    </row>
    <row r="321" ht="13.5" customHeight="1">
      <c r="A321" s="34" t="n"/>
      <c r="B321" s="34" t="n"/>
    </row>
    <row r="322" ht="13.5" customHeight="1">
      <c r="A322" s="34" t="n"/>
      <c r="B322" s="34" t="n"/>
    </row>
    <row r="323" ht="13.5" customHeight="1">
      <c r="A323" s="34" t="n"/>
      <c r="B323" s="34" t="n"/>
    </row>
    <row r="324" ht="13.5" customHeight="1">
      <c r="A324" s="34" t="n"/>
      <c r="B324" s="34" t="n"/>
    </row>
    <row r="325" ht="13.5" customHeight="1">
      <c r="A325" s="34" t="n"/>
      <c r="B325" s="34" t="n"/>
    </row>
    <row r="326" ht="13.5" customHeight="1">
      <c r="A326" s="34" t="n"/>
      <c r="B326" s="34" t="n"/>
    </row>
    <row r="327" ht="13.5" customHeight="1">
      <c r="A327" s="34" t="n"/>
      <c r="B327" s="34" t="n"/>
    </row>
    <row r="328" ht="13.5" customHeight="1">
      <c r="A328" s="34" t="n"/>
      <c r="B328" s="34" t="n"/>
    </row>
    <row r="329" ht="13.5" customHeight="1">
      <c r="A329" s="34" t="n"/>
      <c r="B329" s="34" t="n"/>
    </row>
    <row r="330" ht="13.5" customHeight="1">
      <c r="A330" s="34" t="n"/>
      <c r="B330" s="34" t="n"/>
    </row>
    <row r="331" ht="13.5" customHeight="1">
      <c r="A331" s="34" t="n"/>
      <c r="B331" s="34" t="n"/>
    </row>
    <row r="332" ht="13.5" customHeight="1">
      <c r="A332" s="34" t="n"/>
      <c r="B332" s="34" t="n"/>
    </row>
    <row r="333" ht="13.5" customHeight="1">
      <c r="A333" s="34" t="n"/>
      <c r="B333" s="34" t="n"/>
    </row>
    <row r="334" ht="13.5" customHeight="1">
      <c r="A334" s="34" t="n"/>
      <c r="B334" s="34" t="n"/>
    </row>
    <row r="335" ht="13.5" customHeight="1">
      <c r="A335" s="34" t="n"/>
      <c r="B335" s="34" t="n"/>
    </row>
    <row r="336" ht="13.5" customHeight="1">
      <c r="A336" s="34" t="n"/>
      <c r="B336" s="34" t="n"/>
    </row>
    <row r="337" ht="13.5" customHeight="1">
      <c r="A337" s="34" t="n"/>
      <c r="B337" s="34" t="n"/>
    </row>
    <row r="338" ht="13.5" customHeight="1">
      <c r="A338" s="34" t="n"/>
      <c r="B338" s="34" t="n"/>
    </row>
    <row r="339" ht="13.5" customHeight="1">
      <c r="A339" s="34" t="n"/>
      <c r="B339" s="34" t="n"/>
    </row>
    <row r="340" ht="13.5" customHeight="1">
      <c r="A340" s="34" t="n"/>
      <c r="B340" s="34" t="n"/>
    </row>
    <row r="341" ht="13.5" customHeight="1">
      <c r="A341" s="34" t="n"/>
      <c r="B341" s="34" t="n"/>
    </row>
    <row r="342" ht="13.5" customHeight="1">
      <c r="A342" s="34" t="n"/>
      <c r="B342" s="34" t="n"/>
    </row>
    <row r="343" ht="13.5" customHeight="1">
      <c r="A343" s="34" t="n"/>
      <c r="B343" s="34" t="n"/>
    </row>
    <row r="344" ht="13.5" customHeight="1">
      <c r="A344" s="34" t="n"/>
      <c r="B344" s="34" t="n"/>
    </row>
    <row r="345" ht="13.5" customHeight="1">
      <c r="A345" s="34" t="n"/>
      <c r="B345" s="34" t="n"/>
    </row>
    <row r="346" ht="13.5" customHeight="1">
      <c r="A346" s="34" t="n"/>
      <c r="B346" s="34" t="n"/>
    </row>
    <row r="347" ht="13.5" customHeight="1">
      <c r="A347" s="34" t="n"/>
      <c r="B347" s="34" t="n"/>
    </row>
    <row r="348" ht="13.5" customHeight="1">
      <c r="A348" s="34" t="n"/>
      <c r="B348" s="34" t="n"/>
    </row>
    <row r="349" ht="13.5" customHeight="1">
      <c r="A349" s="34" t="n"/>
      <c r="B349" s="34" t="n"/>
    </row>
    <row r="350" ht="13.5" customHeight="1">
      <c r="A350" s="34" t="n"/>
      <c r="B350" s="34" t="n"/>
    </row>
    <row r="351" ht="13.5" customHeight="1">
      <c r="A351" s="34" t="n"/>
      <c r="B351" s="34" t="n"/>
    </row>
    <row r="352" ht="13.5" customHeight="1">
      <c r="A352" s="34" t="n"/>
      <c r="B352" s="34" t="n"/>
    </row>
    <row r="353" ht="13.5" customHeight="1">
      <c r="A353" s="34" t="n"/>
      <c r="B353" s="34" t="n"/>
    </row>
    <row r="354" ht="13.5" customHeight="1">
      <c r="A354" s="34" t="n"/>
      <c r="B354" s="34" t="n"/>
    </row>
    <row r="355" ht="13.5" customHeight="1">
      <c r="A355" s="34" t="n"/>
      <c r="B355" s="34" t="n"/>
    </row>
    <row r="356" ht="13.5" customHeight="1">
      <c r="A356" s="34" t="n"/>
      <c r="B356" s="34" t="n"/>
    </row>
    <row r="357" ht="13.5" customHeight="1">
      <c r="A357" s="34" t="n"/>
      <c r="B357" s="34" t="n"/>
    </row>
    <row r="358" ht="13.5" customHeight="1">
      <c r="A358" s="34" t="n"/>
      <c r="B358" s="34" t="n"/>
    </row>
    <row r="359" ht="13.5" customHeight="1">
      <c r="A359" s="34" t="n"/>
      <c r="B359" s="34" t="n"/>
    </row>
    <row r="360" ht="13.5" customHeight="1">
      <c r="A360" s="34" t="n"/>
      <c r="B360" s="34" t="n"/>
    </row>
    <row r="361" ht="13.5" customHeight="1">
      <c r="A361" s="34" t="n"/>
      <c r="B361" s="34" t="n"/>
    </row>
    <row r="362" ht="13.5" customHeight="1">
      <c r="A362" s="34" t="n"/>
      <c r="B362" s="34" t="n"/>
    </row>
    <row r="363" ht="13.5" customHeight="1">
      <c r="A363" s="34" t="n"/>
      <c r="B363" s="34" t="n"/>
    </row>
    <row r="364" ht="13.5" customHeight="1">
      <c r="A364" s="34" t="n"/>
      <c r="B364" s="34" t="n"/>
    </row>
    <row r="365" ht="13.5" customHeight="1">
      <c r="A365" s="34" t="n"/>
      <c r="B365" s="34" t="n"/>
    </row>
    <row r="366" ht="13.5" customHeight="1">
      <c r="A366" s="34" t="n"/>
      <c r="B366" s="34" t="n"/>
    </row>
    <row r="367" ht="13.5" customHeight="1">
      <c r="A367" s="34" t="n"/>
      <c r="B367" s="34" t="n"/>
    </row>
    <row r="368" ht="13.5" customHeight="1">
      <c r="A368" s="34" t="n"/>
      <c r="B368" s="34" t="n"/>
    </row>
    <row r="369" ht="13.5" customHeight="1">
      <c r="A369" s="34" t="n"/>
      <c r="B369" s="34" t="n"/>
    </row>
    <row r="370" ht="13.5" customHeight="1">
      <c r="A370" s="34" t="n"/>
      <c r="B370" s="34" t="n"/>
    </row>
    <row r="371" ht="13.5" customHeight="1">
      <c r="A371" s="34" t="n"/>
      <c r="B371" s="34" t="n"/>
    </row>
    <row r="372" ht="13.5" customHeight="1">
      <c r="A372" s="34" t="n"/>
      <c r="B372" s="34" t="n"/>
    </row>
    <row r="373" ht="13.5" customHeight="1">
      <c r="A373" s="34" t="n"/>
      <c r="B373" s="34" t="n"/>
    </row>
    <row r="374" ht="13.5" customHeight="1">
      <c r="A374" s="34" t="n"/>
      <c r="B374" s="34" t="n"/>
    </row>
    <row r="375" ht="13.5" customHeight="1">
      <c r="A375" s="34" t="n"/>
      <c r="B375" s="34" t="n"/>
    </row>
    <row r="376" ht="13.5" customHeight="1">
      <c r="A376" s="34" t="n"/>
      <c r="B376" s="34" t="n"/>
    </row>
    <row r="377" ht="13.5" customHeight="1">
      <c r="A377" s="34" t="n"/>
      <c r="B377" s="34" t="n"/>
    </row>
    <row r="378" ht="13.5" customHeight="1">
      <c r="A378" s="34" t="n"/>
      <c r="B378" s="34" t="n"/>
    </row>
    <row r="379" ht="13.5" customHeight="1">
      <c r="A379" s="34" t="n"/>
      <c r="B379" s="34" t="n"/>
    </row>
    <row r="380" ht="13.5" customHeight="1">
      <c r="A380" s="34" t="n"/>
      <c r="B380" s="34" t="n"/>
    </row>
    <row r="381" ht="13.5" customHeight="1">
      <c r="A381" s="34" t="n"/>
      <c r="B381" s="34" t="n"/>
    </row>
    <row r="382" ht="13.5" customHeight="1">
      <c r="A382" s="34" t="n"/>
      <c r="B382" s="34" t="n"/>
    </row>
    <row r="383" ht="13.5" customHeight="1">
      <c r="A383" s="34" t="n"/>
      <c r="B383" s="34" t="n"/>
    </row>
    <row r="384" ht="13.5" customHeight="1">
      <c r="A384" s="34" t="n"/>
      <c r="B384" s="34" t="n"/>
    </row>
    <row r="385" ht="13.5" customHeight="1">
      <c r="A385" s="34" t="n"/>
      <c r="B385" s="34" t="n"/>
    </row>
    <row r="386" ht="13.5" customHeight="1">
      <c r="A386" s="34" t="n"/>
      <c r="B386" s="34" t="n"/>
    </row>
    <row r="387" ht="13.5" customHeight="1">
      <c r="A387" s="34" t="n"/>
      <c r="B387" s="34" t="n"/>
    </row>
    <row r="388" ht="13.5" customHeight="1">
      <c r="A388" s="34" t="n"/>
      <c r="B388" s="34" t="n"/>
    </row>
    <row r="389" ht="13.5" customHeight="1">
      <c r="A389" s="34" t="n"/>
      <c r="B389" s="34" t="n"/>
    </row>
    <row r="390" ht="13.5" customHeight="1">
      <c r="A390" s="34" t="n"/>
      <c r="B390" s="34" t="n"/>
    </row>
    <row r="391" ht="13.5" customHeight="1">
      <c r="A391" s="34" t="n"/>
      <c r="B391" s="34" t="n"/>
    </row>
    <row r="392" ht="13.5" customHeight="1">
      <c r="A392" s="34" t="n"/>
      <c r="B392" s="34" t="n"/>
    </row>
    <row r="393" ht="13.5" customHeight="1">
      <c r="A393" s="34" t="n"/>
      <c r="B393" s="34" t="n"/>
    </row>
    <row r="394" ht="13.5" customHeight="1">
      <c r="A394" s="34" t="n"/>
      <c r="B394" s="34" t="n"/>
    </row>
    <row r="395" ht="13.5" customHeight="1">
      <c r="A395" s="34" t="n"/>
      <c r="B395" s="34" t="n"/>
    </row>
    <row r="396" ht="13.5" customHeight="1">
      <c r="A396" s="34" t="n"/>
      <c r="B396" s="34" t="n"/>
    </row>
    <row r="397" ht="13.5" customHeight="1">
      <c r="A397" s="34" t="n"/>
      <c r="B397" s="34" t="n"/>
    </row>
    <row r="398" ht="13.5" customHeight="1">
      <c r="A398" s="34" t="n"/>
      <c r="B398" s="34" t="n"/>
    </row>
    <row r="399" ht="13.5" customHeight="1">
      <c r="A399" s="34" t="n"/>
      <c r="B399" s="34" t="n"/>
    </row>
    <row r="400" ht="13.5" customHeight="1">
      <c r="A400" s="34" t="n"/>
      <c r="B400" s="34" t="n"/>
    </row>
    <row r="401" ht="13.5" customHeight="1">
      <c r="A401" s="34" t="n"/>
      <c r="B401" s="34" t="n"/>
    </row>
    <row r="402" ht="13.5" customHeight="1">
      <c r="A402" s="34" t="n"/>
      <c r="B402" s="34" t="n"/>
    </row>
    <row r="403" ht="13.5" customHeight="1">
      <c r="A403" s="34" t="n"/>
      <c r="B403" s="34" t="n"/>
    </row>
    <row r="404" ht="13.5" customHeight="1">
      <c r="A404" s="34" t="n"/>
      <c r="B404" s="34" t="n"/>
    </row>
    <row r="405" ht="13.5" customHeight="1">
      <c r="A405" s="34" t="n"/>
      <c r="B405" s="34" t="n"/>
    </row>
    <row r="406" ht="13.5" customHeight="1">
      <c r="A406" s="34" t="n"/>
      <c r="B406" s="34" t="n"/>
    </row>
    <row r="407" ht="13.5" customHeight="1">
      <c r="A407" s="34" t="n"/>
      <c r="B407" s="34" t="n"/>
    </row>
    <row r="408" ht="13.5" customHeight="1">
      <c r="A408" s="34" t="n"/>
      <c r="B408" s="34" t="n"/>
    </row>
    <row r="409" ht="13.5" customHeight="1">
      <c r="A409" s="34" t="n"/>
      <c r="B409" s="34" t="n"/>
    </row>
    <row r="410" ht="13.5" customHeight="1">
      <c r="A410" s="34" t="n"/>
      <c r="B410" s="34" t="n"/>
    </row>
    <row r="411" ht="13.5" customHeight="1">
      <c r="A411" s="34" t="n"/>
      <c r="B411" s="34" t="n"/>
    </row>
    <row r="412" ht="13.5" customHeight="1">
      <c r="A412" s="34" t="n"/>
      <c r="B412" s="34" t="n"/>
    </row>
    <row r="413" ht="13.5" customHeight="1">
      <c r="A413" s="34" t="n"/>
      <c r="B413" s="34" t="n"/>
    </row>
    <row r="414" ht="13.5" customHeight="1">
      <c r="A414" s="34" t="n"/>
      <c r="B414" s="34" t="n"/>
    </row>
    <row r="415" ht="13.5" customHeight="1">
      <c r="A415" s="34" t="n"/>
      <c r="B415" s="34" t="n"/>
    </row>
    <row r="416" ht="13.5" customHeight="1">
      <c r="A416" s="34" t="n"/>
      <c r="B416" s="34" t="n"/>
    </row>
    <row r="417" ht="13.5" customHeight="1">
      <c r="A417" s="34" t="n"/>
      <c r="B417" s="34" t="n"/>
    </row>
    <row r="418" ht="13.5" customHeight="1">
      <c r="A418" s="34" t="n"/>
      <c r="B418" s="34" t="n"/>
    </row>
    <row r="419" ht="13.5" customHeight="1">
      <c r="A419" s="34" t="n"/>
      <c r="B419" s="34" t="n"/>
    </row>
    <row r="420" ht="13.5" customHeight="1">
      <c r="A420" s="34" t="n"/>
      <c r="B420" s="34" t="n"/>
    </row>
    <row r="421" ht="13.5" customHeight="1">
      <c r="A421" s="34" t="n"/>
      <c r="B421" s="34" t="n"/>
    </row>
    <row r="422" ht="13.5" customHeight="1">
      <c r="A422" s="34" t="n"/>
      <c r="B422" s="34" t="n"/>
    </row>
    <row r="423" ht="13.5" customHeight="1">
      <c r="A423" s="34" t="n"/>
      <c r="B423" s="34" t="n"/>
    </row>
    <row r="424" ht="13.5" customHeight="1">
      <c r="A424" s="34" t="n"/>
      <c r="B424" s="34" t="n"/>
    </row>
    <row r="425" ht="13.5" customHeight="1">
      <c r="A425" s="34" t="n"/>
      <c r="B425" s="34" t="n"/>
    </row>
    <row r="426" ht="13.5" customHeight="1">
      <c r="A426" s="34" t="n"/>
      <c r="B426" s="34" t="n"/>
    </row>
    <row r="427" ht="13.5" customHeight="1">
      <c r="A427" s="34" t="n"/>
      <c r="B427" s="34" t="n"/>
    </row>
    <row r="428" ht="13.5" customHeight="1">
      <c r="A428" s="34" t="n"/>
      <c r="B428" s="34" t="n"/>
    </row>
    <row r="429" ht="13.5" customHeight="1">
      <c r="A429" s="34" t="n"/>
      <c r="B429" s="34" t="n"/>
    </row>
    <row r="430" ht="13.5" customHeight="1">
      <c r="A430" s="34" t="n"/>
      <c r="B430" s="34" t="n"/>
    </row>
    <row r="431" ht="13.5" customHeight="1">
      <c r="A431" s="34" t="n"/>
      <c r="B431" s="34" t="n"/>
    </row>
    <row r="432" ht="13.5" customHeight="1">
      <c r="A432" s="34" t="n"/>
      <c r="B432" s="34" t="n"/>
    </row>
    <row r="433" ht="13.5" customHeight="1">
      <c r="A433" s="34" t="n"/>
      <c r="B433" s="34" t="n"/>
    </row>
    <row r="434" ht="13.5" customHeight="1">
      <c r="A434" s="34" t="n"/>
      <c r="B434" s="34" t="n"/>
    </row>
    <row r="435" ht="13.5" customHeight="1">
      <c r="A435" s="34" t="n"/>
      <c r="B435" s="34" t="n"/>
    </row>
    <row r="436" ht="13.5" customHeight="1">
      <c r="A436" s="34" t="n"/>
      <c r="B436" s="34" t="n"/>
    </row>
    <row r="437" ht="13.5" customHeight="1">
      <c r="A437" s="34" t="n"/>
      <c r="B437" s="34" t="n"/>
    </row>
    <row r="438" ht="13.5" customHeight="1">
      <c r="A438" s="34" t="n"/>
      <c r="B438" s="34" t="n"/>
    </row>
    <row r="439" ht="13.5" customHeight="1">
      <c r="A439" s="34" t="n"/>
      <c r="B439" s="34" t="n"/>
    </row>
    <row r="440" ht="13.5" customHeight="1">
      <c r="A440" s="34" t="n"/>
      <c r="B440" s="34" t="n"/>
    </row>
    <row r="441" ht="13.5" customHeight="1">
      <c r="A441" s="34" t="n"/>
      <c r="B441" s="34" t="n"/>
    </row>
    <row r="442" ht="13.5" customHeight="1">
      <c r="A442" s="34" t="n"/>
      <c r="B442" s="34" t="n"/>
    </row>
    <row r="443" ht="13.5" customHeight="1">
      <c r="A443" s="34" t="n"/>
      <c r="B443" s="34" t="n"/>
    </row>
    <row r="444" ht="13.5" customHeight="1">
      <c r="A444" s="34" t="n"/>
      <c r="B444" s="34" t="n"/>
    </row>
    <row r="445" ht="13.5" customHeight="1">
      <c r="A445" s="34" t="n"/>
      <c r="B445" s="34" t="n"/>
    </row>
    <row r="446" ht="13.5" customHeight="1">
      <c r="A446" s="34" t="n"/>
      <c r="B446" s="34" t="n"/>
    </row>
    <row r="447" ht="13.5" customHeight="1">
      <c r="A447" s="34" t="n"/>
      <c r="B447" s="34" t="n"/>
    </row>
    <row r="448" ht="13.5" customHeight="1">
      <c r="A448" s="34" t="n"/>
      <c r="B448" s="34" t="n"/>
    </row>
    <row r="449" ht="13.5" customHeight="1">
      <c r="A449" s="34" t="n"/>
      <c r="B449" s="34" t="n"/>
    </row>
    <row r="450" ht="13.5" customHeight="1">
      <c r="A450" s="34" t="n"/>
      <c r="B450" s="34" t="n"/>
    </row>
    <row r="451" ht="13.5" customHeight="1">
      <c r="A451" s="34" t="n"/>
      <c r="B451" s="34" t="n"/>
    </row>
    <row r="452" ht="13.5" customHeight="1">
      <c r="A452" s="34" t="n"/>
      <c r="B452" s="34" t="n"/>
    </row>
    <row r="453" ht="13.5" customHeight="1">
      <c r="A453" s="34" t="n"/>
      <c r="B453" s="34" t="n"/>
    </row>
    <row r="454" ht="13.5" customHeight="1">
      <c r="A454" s="34" t="n"/>
      <c r="B454" s="34" t="n"/>
    </row>
    <row r="455" ht="13.5" customHeight="1">
      <c r="A455" s="34" t="n"/>
      <c r="B455" s="34" t="n"/>
    </row>
    <row r="456" ht="13.5" customHeight="1">
      <c r="A456" s="34" t="n"/>
      <c r="B456" s="34" t="n"/>
    </row>
    <row r="457" ht="13.5" customHeight="1">
      <c r="A457" s="34" t="n"/>
      <c r="B457" s="34" t="n"/>
    </row>
    <row r="458" ht="13.5" customHeight="1">
      <c r="A458" s="34" t="n"/>
      <c r="B458" s="34" t="n"/>
    </row>
    <row r="459" ht="13.5" customHeight="1">
      <c r="A459" s="34" t="n"/>
      <c r="B459" s="34" t="n"/>
    </row>
    <row r="460" ht="13.5" customHeight="1">
      <c r="A460" s="34" t="n"/>
      <c r="B460" s="34" t="n"/>
    </row>
    <row r="461" ht="13.5" customHeight="1">
      <c r="A461" s="34" t="n"/>
      <c r="B461" s="34" t="n"/>
    </row>
    <row r="462" ht="13.5" customHeight="1">
      <c r="A462" s="34" t="n"/>
      <c r="B462" s="34" t="n"/>
    </row>
    <row r="463" ht="13.5" customHeight="1">
      <c r="A463" s="34" t="n"/>
      <c r="B463" s="34" t="n"/>
    </row>
    <row r="464" ht="13.5" customHeight="1">
      <c r="A464" s="34" t="n"/>
      <c r="B464" s="34" t="n"/>
    </row>
    <row r="465" ht="13.5" customHeight="1">
      <c r="A465" s="34" t="n"/>
      <c r="B465" s="34" t="n"/>
    </row>
    <row r="466" ht="13.5" customHeight="1">
      <c r="A466" s="34" t="n"/>
      <c r="B466" s="34" t="n"/>
    </row>
    <row r="467" ht="13.5" customHeight="1">
      <c r="A467" s="34" t="n"/>
      <c r="B467" s="34" t="n"/>
    </row>
    <row r="468" ht="13.5" customHeight="1">
      <c r="A468" s="34" t="n"/>
      <c r="B468" s="34" t="n"/>
    </row>
    <row r="469" ht="13.5" customHeight="1">
      <c r="A469" s="34" t="n"/>
      <c r="B469" s="34" t="n"/>
    </row>
    <row r="470" ht="13.5" customHeight="1">
      <c r="A470" s="34" t="n"/>
      <c r="B470" s="34" t="n"/>
    </row>
    <row r="471" ht="13.5" customHeight="1">
      <c r="A471" s="34" t="n"/>
      <c r="B471" s="34" t="n"/>
    </row>
    <row r="472" ht="13.5" customHeight="1">
      <c r="A472" s="34" t="n"/>
      <c r="B472" s="34" t="n"/>
    </row>
    <row r="473" ht="13.5" customHeight="1">
      <c r="A473" s="34" t="n"/>
      <c r="B473" s="34" t="n"/>
    </row>
    <row r="474" ht="13.5" customHeight="1">
      <c r="A474" s="34" t="n"/>
      <c r="B474" s="34" t="n"/>
    </row>
    <row r="475" ht="13.5" customHeight="1">
      <c r="A475" s="34" t="n"/>
      <c r="B475" s="34" t="n"/>
    </row>
    <row r="476" ht="13.5" customHeight="1">
      <c r="A476" s="34" t="n"/>
      <c r="B476" s="34" t="n"/>
    </row>
    <row r="477" ht="13.5" customHeight="1">
      <c r="A477" s="34" t="n"/>
      <c r="B477" s="34" t="n"/>
    </row>
    <row r="478" ht="13.5" customHeight="1">
      <c r="A478" s="34" t="n"/>
      <c r="B478" s="34" t="n"/>
    </row>
    <row r="479" ht="13.5" customHeight="1">
      <c r="A479" s="34" t="n"/>
      <c r="B479" s="34" t="n"/>
    </row>
    <row r="480" ht="13.5" customHeight="1">
      <c r="A480" s="34" t="n"/>
      <c r="B480" s="34" t="n"/>
    </row>
    <row r="481" ht="13.5" customHeight="1">
      <c r="A481" s="34" t="n"/>
      <c r="B481" s="34" t="n"/>
    </row>
    <row r="482" ht="13.5" customHeight="1">
      <c r="A482" s="34" t="n"/>
      <c r="B482" s="34" t="n"/>
    </row>
    <row r="483" ht="13.5" customHeight="1">
      <c r="A483" s="34" t="n"/>
      <c r="B483" s="34" t="n"/>
    </row>
    <row r="484" ht="13.5" customHeight="1">
      <c r="A484" s="34" t="n"/>
      <c r="B484" s="34" t="n"/>
    </row>
    <row r="485" ht="13.5" customHeight="1">
      <c r="A485" s="34" t="n"/>
      <c r="B485" s="34" t="n"/>
    </row>
    <row r="486" ht="13.5" customHeight="1">
      <c r="A486" s="34" t="n"/>
      <c r="B486" s="34" t="n"/>
    </row>
    <row r="487" ht="13.5" customHeight="1">
      <c r="A487" s="34" t="n"/>
      <c r="B487" s="34" t="n"/>
    </row>
    <row r="488" ht="13.5" customHeight="1">
      <c r="A488" s="34" t="n"/>
      <c r="B488" s="34" t="n"/>
    </row>
    <row r="489" ht="13.5" customHeight="1">
      <c r="A489" s="34" t="n"/>
      <c r="B489" s="34" t="n"/>
    </row>
    <row r="490" ht="13.5" customHeight="1">
      <c r="A490" s="34" t="n"/>
      <c r="B490" s="34" t="n"/>
    </row>
    <row r="491" ht="13.5" customHeight="1">
      <c r="A491" s="34" t="n"/>
      <c r="B491" s="34" t="n"/>
    </row>
    <row r="492" ht="13.5" customHeight="1">
      <c r="A492" s="34" t="n"/>
      <c r="B492" s="34" t="n"/>
    </row>
    <row r="493" ht="13.5" customHeight="1">
      <c r="A493" s="34" t="n"/>
      <c r="B493" s="34" t="n"/>
    </row>
    <row r="494" ht="13.5" customHeight="1">
      <c r="A494" s="34" t="n"/>
      <c r="B494" s="34" t="n"/>
    </row>
    <row r="495" ht="13.5" customHeight="1">
      <c r="A495" s="34" t="n"/>
      <c r="B495" s="34" t="n"/>
    </row>
    <row r="496" ht="13.5" customHeight="1">
      <c r="A496" s="34" t="n"/>
      <c r="B496" s="34" t="n"/>
    </row>
    <row r="497" ht="13.5" customHeight="1">
      <c r="A497" s="34" t="n"/>
      <c r="B497" s="34" t="n"/>
    </row>
    <row r="498" ht="13.5" customHeight="1">
      <c r="A498" s="34" t="n"/>
      <c r="B498" s="34" t="n"/>
    </row>
    <row r="499" ht="13.5" customHeight="1">
      <c r="A499" s="34" t="n"/>
      <c r="B499" s="34" t="n"/>
    </row>
    <row r="500" ht="13.5" customHeight="1">
      <c r="A500" s="34" t="n"/>
      <c r="B500" s="34" t="n"/>
    </row>
    <row r="501" ht="13.5" customHeight="1">
      <c r="A501" s="34" t="n"/>
      <c r="B501" s="34" t="n"/>
    </row>
    <row r="502" ht="13.5" customHeight="1">
      <c r="A502" s="34" t="n"/>
      <c r="B502" s="34" t="n"/>
    </row>
    <row r="503" ht="13.5" customHeight="1">
      <c r="A503" s="34" t="n"/>
      <c r="B503" s="34" t="n"/>
    </row>
    <row r="504" ht="13.5" customHeight="1">
      <c r="A504" s="34" t="n"/>
      <c r="B504" s="34" t="n"/>
    </row>
    <row r="505" ht="13.5" customHeight="1">
      <c r="A505" s="34" t="n"/>
      <c r="B505" s="34" t="n"/>
    </row>
    <row r="506" ht="13.5" customHeight="1">
      <c r="A506" s="34" t="n"/>
      <c r="B506" s="34" t="n"/>
    </row>
    <row r="507" ht="13.5" customHeight="1">
      <c r="A507" s="34" t="n"/>
      <c r="B507" s="34" t="n"/>
    </row>
    <row r="508" ht="13.5" customHeight="1">
      <c r="A508" s="34" t="n"/>
      <c r="B508" s="34" t="n"/>
    </row>
    <row r="509" ht="13.5" customHeight="1">
      <c r="A509" s="34" t="n"/>
      <c r="B509" s="34" t="n"/>
    </row>
    <row r="510" ht="13.5" customHeight="1">
      <c r="A510" s="34" t="n"/>
      <c r="B510" s="34" t="n"/>
    </row>
    <row r="511" ht="13.5" customHeight="1">
      <c r="A511" s="34" t="n"/>
      <c r="B511" s="34" t="n"/>
    </row>
    <row r="512" ht="13.5" customHeight="1">
      <c r="A512" s="34" t="n"/>
      <c r="B512" s="34" t="n"/>
    </row>
    <row r="513" ht="13.5" customHeight="1">
      <c r="A513" s="34" t="n"/>
      <c r="B513" s="34" t="n"/>
    </row>
    <row r="514" ht="13.5" customHeight="1">
      <c r="A514" s="34" t="n"/>
      <c r="B514" s="34" t="n"/>
    </row>
    <row r="515" ht="13.5" customHeight="1">
      <c r="A515" s="34" t="n"/>
      <c r="B515" s="34" t="n"/>
    </row>
    <row r="516" ht="13.5" customHeight="1">
      <c r="A516" s="34" t="n"/>
      <c r="B516" s="34" t="n"/>
    </row>
    <row r="517" ht="13.5" customHeight="1">
      <c r="A517" s="34" t="n"/>
      <c r="B517" s="34" t="n"/>
    </row>
    <row r="518" ht="13.5" customHeight="1">
      <c r="A518" s="34" t="n"/>
      <c r="B518" s="34" t="n"/>
    </row>
    <row r="519" ht="13.5" customHeight="1">
      <c r="A519" s="34" t="n"/>
      <c r="B519" s="34" t="n"/>
    </row>
    <row r="520" ht="13.5" customHeight="1">
      <c r="A520" s="34" t="n"/>
      <c r="B520" s="34" t="n"/>
    </row>
    <row r="521" ht="13.5" customHeight="1">
      <c r="A521" s="34" t="n"/>
      <c r="B521" s="34" t="n"/>
    </row>
    <row r="522" ht="13.5" customHeight="1">
      <c r="A522" s="34" t="n"/>
      <c r="B522" s="34" t="n"/>
    </row>
    <row r="523" ht="13.5" customHeight="1">
      <c r="A523" s="34" t="n"/>
      <c r="B523" s="34" t="n"/>
    </row>
    <row r="524" ht="13.5" customHeight="1">
      <c r="A524" s="34" t="n"/>
      <c r="B524" s="34" t="n"/>
    </row>
    <row r="525" ht="13.5" customHeight="1">
      <c r="A525" s="34" t="n"/>
      <c r="B525" s="34" t="n"/>
    </row>
    <row r="526" ht="13.5" customHeight="1">
      <c r="A526" s="34" t="n"/>
      <c r="B526" s="34" t="n"/>
    </row>
    <row r="527" ht="13.5" customHeight="1">
      <c r="A527" s="34" t="n"/>
      <c r="B527" s="34" t="n"/>
    </row>
    <row r="528" ht="13.5" customHeight="1">
      <c r="A528" s="34" t="n"/>
      <c r="B528" s="34" t="n"/>
    </row>
    <row r="529" ht="13.5" customHeight="1">
      <c r="A529" s="34" t="n"/>
      <c r="B529" s="34" t="n"/>
    </row>
    <row r="530" ht="13.5" customHeight="1">
      <c r="A530" s="34" t="n"/>
      <c r="B530" s="34" t="n"/>
    </row>
    <row r="531" ht="13.5" customHeight="1">
      <c r="A531" s="34" t="n"/>
      <c r="B531" s="34" t="n"/>
    </row>
    <row r="532" ht="13.5" customHeight="1">
      <c r="A532" s="34" t="n"/>
      <c r="B532" s="34" t="n"/>
    </row>
    <row r="533" ht="13.5" customHeight="1">
      <c r="A533" s="34" t="n"/>
      <c r="B533" s="34" t="n"/>
    </row>
    <row r="534" ht="13.5" customHeight="1">
      <c r="A534" s="34" t="n"/>
      <c r="B534" s="34" t="n"/>
    </row>
    <row r="535" ht="13.5" customHeight="1">
      <c r="A535" s="34" t="n"/>
      <c r="B535" s="34" t="n"/>
    </row>
    <row r="536" ht="13.5" customHeight="1">
      <c r="A536" s="34" t="n"/>
      <c r="B536" s="34" t="n"/>
    </row>
    <row r="537" ht="13.5" customHeight="1">
      <c r="A537" s="34" t="n"/>
      <c r="B537" s="34" t="n"/>
    </row>
    <row r="538" ht="13.5" customHeight="1">
      <c r="A538" s="34" t="n"/>
      <c r="B538" s="34" t="n"/>
    </row>
    <row r="539" ht="13.5" customHeight="1">
      <c r="A539" s="34" t="n"/>
      <c r="B539" s="34" t="n"/>
    </row>
    <row r="540" ht="13.5" customHeight="1">
      <c r="A540" s="34" t="n"/>
      <c r="B540" s="34" t="n"/>
    </row>
    <row r="541" ht="13.5" customHeight="1">
      <c r="A541" s="34" t="n"/>
      <c r="B541" s="34" t="n"/>
    </row>
    <row r="542" ht="13.5" customHeight="1">
      <c r="A542" s="34" t="n"/>
      <c r="B542" s="34" t="n"/>
    </row>
    <row r="543" ht="13.5" customHeight="1">
      <c r="A543" s="34" t="n"/>
      <c r="B543" s="34" t="n"/>
    </row>
    <row r="544" ht="13.5" customHeight="1">
      <c r="A544" s="34" t="n"/>
      <c r="B544" s="34" t="n"/>
    </row>
    <row r="545" ht="13.5" customHeight="1">
      <c r="A545" s="34" t="n"/>
      <c r="B545" s="34" t="n"/>
    </row>
    <row r="546" ht="13.5" customHeight="1">
      <c r="A546" s="34" t="n"/>
      <c r="B546" s="34" t="n"/>
    </row>
    <row r="547" ht="13.5" customHeight="1">
      <c r="A547" s="34" t="n"/>
      <c r="B547" s="34" t="n"/>
    </row>
    <row r="548" ht="13.5" customHeight="1">
      <c r="A548" s="34" t="n"/>
      <c r="B548" s="34" t="n"/>
    </row>
    <row r="549" ht="13.5" customHeight="1">
      <c r="A549" s="34" t="n"/>
      <c r="B549" s="34" t="n"/>
    </row>
    <row r="550" ht="13.5" customHeight="1">
      <c r="A550" s="34" t="n"/>
      <c r="B550" s="34" t="n"/>
    </row>
    <row r="551" ht="13.5" customHeight="1">
      <c r="A551" s="34" t="n"/>
      <c r="B551" s="34" t="n"/>
    </row>
    <row r="552" ht="13.5" customHeight="1">
      <c r="A552" s="34" t="n"/>
      <c r="B552" s="34" t="n"/>
    </row>
    <row r="553" ht="13.5" customHeight="1">
      <c r="A553" s="34" t="n"/>
      <c r="B553" s="34" t="n"/>
    </row>
    <row r="554" ht="13.5" customHeight="1">
      <c r="A554" s="34" t="n"/>
      <c r="B554" s="34" t="n"/>
    </row>
    <row r="555" ht="13.5" customHeight="1">
      <c r="A555" s="34" t="n"/>
      <c r="B555" s="34" t="n"/>
    </row>
    <row r="556" ht="13.5" customHeight="1">
      <c r="A556" s="34" t="n"/>
      <c r="B556" s="34" t="n"/>
    </row>
    <row r="557" ht="13.5" customHeight="1">
      <c r="A557" s="34" t="n"/>
      <c r="B557" s="34" t="n"/>
    </row>
    <row r="558" ht="13.5" customHeight="1">
      <c r="A558" s="34" t="n"/>
      <c r="B558" s="34" t="n"/>
    </row>
    <row r="559" ht="13.5" customHeight="1">
      <c r="A559" s="34" t="n"/>
      <c r="B559" s="34" t="n"/>
    </row>
    <row r="560" ht="13.5" customHeight="1">
      <c r="A560" s="34" t="n"/>
      <c r="B560" s="34" t="n"/>
    </row>
    <row r="561" ht="13.5" customHeight="1">
      <c r="A561" s="34" t="n"/>
      <c r="B561" s="34" t="n"/>
    </row>
    <row r="562" ht="13.5" customHeight="1">
      <c r="A562" s="34" t="n"/>
      <c r="B562" s="34" t="n"/>
    </row>
    <row r="563" ht="13.5" customHeight="1">
      <c r="A563" s="34" t="n"/>
      <c r="B563" s="34" t="n"/>
    </row>
    <row r="564" ht="13.5" customHeight="1">
      <c r="A564" s="34" t="n"/>
      <c r="B564" s="34" t="n"/>
    </row>
    <row r="565" ht="13.5" customHeight="1">
      <c r="A565" s="34" t="n"/>
      <c r="B565" s="34" t="n"/>
    </row>
    <row r="566" ht="13.5" customHeight="1">
      <c r="A566" s="34" t="n"/>
      <c r="B566" s="34" t="n"/>
    </row>
    <row r="567" ht="13.5" customHeight="1">
      <c r="A567" s="34" t="n"/>
      <c r="B567" s="34" t="n"/>
    </row>
    <row r="568" ht="13.5" customHeight="1">
      <c r="A568" s="34" t="n"/>
      <c r="B568" s="34" t="n"/>
    </row>
    <row r="569" ht="13.5" customHeight="1">
      <c r="A569" s="34" t="n"/>
      <c r="B569" s="34" t="n"/>
    </row>
    <row r="570" ht="13.5" customHeight="1">
      <c r="A570" s="34" t="n"/>
      <c r="B570" s="34" t="n"/>
    </row>
    <row r="571" ht="13.5" customHeight="1">
      <c r="A571" s="34" t="n"/>
      <c r="B571" s="34" t="n"/>
    </row>
    <row r="572" ht="13.5" customHeight="1">
      <c r="A572" s="34" t="n"/>
      <c r="B572" s="34" t="n"/>
    </row>
    <row r="573" ht="13.5" customHeight="1">
      <c r="A573" s="34" t="n"/>
      <c r="B573" s="34" t="n"/>
    </row>
    <row r="574" ht="13.5" customHeight="1">
      <c r="A574" s="34" t="n"/>
      <c r="B574" s="34" t="n"/>
    </row>
    <row r="575" ht="13.5" customHeight="1">
      <c r="A575" s="34" t="n"/>
      <c r="B575" s="34" t="n"/>
    </row>
    <row r="576" ht="13.5" customHeight="1">
      <c r="A576" s="34" t="n"/>
      <c r="B576" s="34" t="n"/>
    </row>
    <row r="577" ht="13.5" customHeight="1">
      <c r="A577" s="34" t="n"/>
      <c r="B577" s="34" t="n"/>
    </row>
    <row r="578" ht="13.5" customHeight="1">
      <c r="A578" s="34" t="n"/>
      <c r="B578" s="34" t="n"/>
    </row>
    <row r="579" ht="13.5" customHeight="1">
      <c r="A579" s="34" t="n"/>
      <c r="B579" s="34" t="n"/>
    </row>
    <row r="580" ht="13.5" customHeight="1">
      <c r="A580" s="34" t="n"/>
      <c r="B580" s="34" t="n"/>
    </row>
    <row r="581" ht="13.5" customHeight="1">
      <c r="A581" s="34" t="n"/>
      <c r="B581" s="34" t="n"/>
    </row>
    <row r="582" ht="13.5" customHeight="1">
      <c r="A582" s="34" t="n"/>
      <c r="B582" s="34" t="n"/>
    </row>
    <row r="583" ht="13.5" customHeight="1">
      <c r="A583" s="34" t="n"/>
      <c r="B583" s="34" t="n"/>
    </row>
    <row r="584" ht="13.5" customHeight="1">
      <c r="A584" s="34" t="n"/>
      <c r="B584" s="34" t="n"/>
    </row>
    <row r="585" ht="13.5" customHeight="1">
      <c r="A585" s="34" t="n"/>
      <c r="B585" s="34" t="n"/>
    </row>
    <row r="586" ht="13.5" customHeight="1">
      <c r="A586" s="34" t="n"/>
      <c r="B586" s="34" t="n"/>
    </row>
    <row r="587" ht="13.5" customHeight="1">
      <c r="A587" s="34" t="n"/>
      <c r="B587" s="34" t="n"/>
    </row>
    <row r="588" ht="13.5" customHeight="1">
      <c r="A588" s="34" t="n"/>
      <c r="B588" s="34" t="n"/>
    </row>
    <row r="589" ht="13.5" customHeight="1">
      <c r="A589" s="34" t="n"/>
      <c r="B589" s="34" t="n"/>
    </row>
    <row r="590" ht="13.5" customHeight="1">
      <c r="A590" s="34" t="n"/>
      <c r="B590" s="34" t="n"/>
    </row>
    <row r="591" ht="13.5" customHeight="1">
      <c r="A591" s="34" t="n"/>
      <c r="B591" s="34" t="n"/>
    </row>
    <row r="592" ht="13.5" customHeight="1">
      <c r="A592" s="34" t="n"/>
      <c r="B592" s="34" t="n"/>
    </row>
    <row r="593" ht="13.5" customHeight="1">
      <c r="A593" s="34" t="n"/>
      <c r="B593" s="34" t="n"/>
    </row>
    <row r="594" ht="13.5" customHeight="1">
      <c r="A594" s="34" t="n"/>
      <c r="B594" s="34" t="n"/>
    </row>
    <row r="595" ht="13.5" customHeight="1">
      <c r="A595" s="34" t="n"/>
      <c r="B595" s="34" t="n"/>
    </row>
    <row r="596" ht="13.5" customHeight="1">
      <c r="A596" s="34" t="n"/>
      <c r="B596" s="34" t="n"/>
    </row>
    <row r="597" ht="13.5" customHeight="1">
      <c r="A597" s="34" t="n"/>
      <c r="B597" s="34" t="n"/>
    </row>
    <row r="598" ht="13.5" customHeight="1">
      <c r="A598" s="34" t="n"/>
      <c r="B598" s="34" t="n"/>
    </row>
    <row r="599" ht="13.5" customHeight="1">
      <c r="A599" s="34" t="n"/>
      <c r="B599" s="34" t="n"/>
    </row>
    <row r="600" ht="13.5" customHeight="1">
      <c r="A600" s="34" t="n"/>
      <c r="B600" s="34" t="n"/>
    </row>
    <row r="601" ht="13.5" customHeight="1">
      <c r="A601" s="34" t="n"/>
      <c r="B601" s="34" t="n"/>
    </row>
    <row r="602" ht="13.5" customHeight="1">
      <c r="A602" s="34" t="n"/>
      <c r="B602" s="34" t="n"/>
    </row>
    <row r="603" ht="13.5" customHeight="1">
      <c r="A603" s="34" t="n"/>
      <c r="B603" s="34" t="n"/>
    </row>
    <row r="604" ht="13.5" customHeight="1">
      <c r="A604" s="34" t="n"/>
      <c r="B604" s="34" t="n"/>
    </row>
    <row r="605" ht="13.5" customHeight="1">
      <c r="A605" s="34" t="n"/>
      <c r="B605" s="34" t="n"/>
    </row>
    <row r="606" ht="13.5" customHeight="1">
      <c r="A606" s="34" t="n"/>
      <c r="B606" s="34" t="n"/>
    </row>
    <row r="607" ht="13.5" customHeight="1">
      <c r="A607" s="34" t="n"/>
      <c r="B607" s="34" t="n"/>
    </row>
    <row r="608" ht="13.5" customHeight="1">
      <c r="A608" s="34" t="n"/>
      <c r="B608" s="34" t="n"/>
    </row>
    <row r="609" ht="13.5" customHeight="1">
      <c r="A609" s="34" t="n"/>
      <c r="B609" s="34" t="n"/>
    </row>
    <row r="610" ht="13.5" customHeight="1">
      <c r="A610" s="34" t="n"/>
      <c r="B610" s="34" t="n"/>
    </row>
    <row r="611" ht="13.5" customHeight="1">
      <c r="A611" s="34" t="n"/>
      <c r="B611" s="34" t="n"/>
    </row>
    <row r="612" ht="13.5" customHeight="1">
      <c r="A612" s="34" t="n"/>
      <c r="B612" s="34" t="n"/>
    </row>
    <row r="613" ht="13.5" customHeight="1">
      <c r="A613" s="34" t="n"/>
      <c r="B613" s="34" t="n"/>
    </row>
    <row r="614" ht="13.5" customHeight="1">
      <c r="A614" s="34" t="n"/>
      <c r="B614" s="34" t="n"/>
    </row>
    <row r="615" ht="13.5" customHeight="1">
      <c r="A615" s="34" t="n"/>
      <c r="B615" s="34" t="n"/>
    </row>
    <row r="616" ht="13.5" customHeight="1">
      <c r="A616" s="34" t="n"/>
      <c r="B616" s="34" t="n"/>
    </row>
    <row r="617" ht="13.5" customHeight="1">
      <c r="A617" s="34" t="n"/>
      <c r="B617" s="34" t="n"/>
    </row>
    <row r="618" ht="13.5" customHeight="1">
      <c r="A618" s="34" t="n"/>
      <c r="B618" s="34" t="n"/>
    </row>
    <row r="619" ht="13.5" customHeight="1">
      <c r="A619" s="34" t="n"/>
      <c r="B619" s="34" t="n"/>
    </row>
    <row r="620" ht="13.5" customHeight="1">
      <c r="A620" s="34" t="n"/>
      <c r="B620" s="34" t="n"/>
    </row>
    <row r="621" ht="13.5" customHeight="1">
      <c r="A621" s="34" t="n"/>
      <c r="B621" s="34" t="n"/>
    </row>
    <row r="622" ht="13.5" customHeight="1">
      <c r="A622" s="34" t="n"/>
      <c r="B622" s="34" t="n"/>
    </row>
    <row r="623" ht="13.5" customHeight="1">
      <c r="A623" s="34" t="n"/>
      <c r="B623" s="34" t="n"/>
    </row>
    <row r="624" ht="13.5" customHeight="1">
      <c r="A624" s="34" t="n"/>
      <c r="B624" s="34" t="n"/>
    </row>
    <row r="625" ht="13.5" customHeight="1">
      <c r="A625" s="34" t="n"/>
      <c r="B625" s="34" t="n"/>
    </row>
    <row r="626" ht="13.5" customHeight="1">
      <c r="A626" s="34" t="n"/>
      <c r="B626" s="34" t="n"/>
    </row>
    <row r="627" ht="13.5" customHeight="1">
      <c r="A627" s="34" t="n"/>
      <c r="B627" s="34" t="n"/>
    </row>
    <row r="628" ht="13.5" customHeight="1">
      <c r="A628" s="34" t="n"/>
      <c r="B628" s="34" t="n"/>
    </row>
    <row r="629" ht="13.5" customHeight="1">
      <c r="A629" s="34" t="n"/>
      <c r="B629" s="34" t="n"/>
    </row>
    <row r="630" ht="13.5" customHeight="1">
      <c r="A630" s="34" t="n"/>
      <c r="B630" s="34" t="n"/>
    </row>
    <row r="631" ht="13.5" customHeight="1">
      <c r="A631" s="34" t="n"/>
      <c r="B631" s="34" t="n"/>
    </row>
    <row r="632" ht="13.5" customHeight="1">
      <c r="A632" s="34" t="n"/>
      <c r="B632" s="34" t="n"/>
    </row>
    <row r="633" ht="13.5" customHeight="1">
      <c r="A633" s="34" t="n"/>
      <c r="B633" s="34" t="n"/>
    </row>
    <row r="634" ht="13.5" customHeight="1">
      <c r="A634" s="34" t="n"/>
      <c r="B634" s="34" t="n"/>
    </row>
    <row r="635" ht="13.5" customHeight="1">
      <c r="A635" s="34" t="n"/>
      <c r="B635" s="34" t="n"/>
    </row>
    <row r="636" ht="13.5" customHeight="1">
      <c r="A636" s="34" t="n"/>
      <c r="B636" s="34" t="n"/>
    </row>
    <row r="637" ht="13.5" customHeight="1">
      <c r="A637" s="34" t="n"/>
      <c r="B637" s="34" t="n"/>
    </row>
    <row r="638" ht="13.5" customHeight="1">
      <c r="A638" s="34" t="n"/>
      <c r="B638" s="34" t="n"/>
    </row>
    <row r="639" ht="13.5" customHeight="1">
      <c r="A639" s="34" t="n"/>
      <c r="B639" s="34" t="n"/>
    </row>
    <row r="640" ht="13.5" customHeight="1">
      <c r="A640" s="34" t="n"/>
      <c r="B640" s="34" t="n"/>
    </row>
    <row r="641" ht="13.5" customHeight="1">
      <c r="A641" s="34" t="n"/>
      <c r="B641" s="34" t="n"/>
    </row>
    <row r="642" ht="13.5" customHeight="1">
      <c r="A642" s="34" t="n"/>
      <c r="B642" s="34" t="n"/>
    </row>
    <row r="643" ht="13.5" customHeight="1">
      <c r="A643" s="34" t="n"/>
      <c r="B643" s="34" t="n"/>
    </row>
    <row r="644" ht="13.5" customHeight="1">
      <c r="A644" s="34" t="n"/>
      <c r="B644" s="34" t="n"/>
    </row>
    <row r="645" ht="13.5" customHeight="1">
      <c r="A645" s="34" t="n"/>
      <c r="B645" s="34" t="n"/>
    </row>
    <row r="646" ht="13.5" customHeight="1">
      <c r="A646" s="34" t="n"/>
      <c r="B646" s="34" t="n"/>
    </row>
    <row r="647" ht="13.5" customHeight="1">
      <c r="A647" s="34" t="n"/>
      <c r="B647" s="34" t="n"/>
    </row>
    <row r="648" ht="13.5" customHeight="1">
      <c r="A648" s="34" t="n"/>
      <c r="B648" s="34" t="n"/>
    </row>
    <row r="649" ht="13.5" customHeight="1">
      <c r="A649" s="34" t="n"/>
      <c r="B649" s="34" t="n"/>
    </row>
    <row r="650" ht="13.5" customHeight="1">
      <c r="A650" s="34" t="n"/>
      <c r="B650" s="34" t="n"/>
    </row>
    <row r="651" ht="13.5" customHeight="1">
      <c r="A651" s="34" t="n"/>
      <c r="B651" s="34" t="n"/>
    </row>
    <row r="652" ht="13.5" customHeight="1">
      <c r="A652" s="34" t="n"/>
      <c r="B652" s="34" t="n"/>
    </row>
    <row r="653" ht="13.5" customHeight="1">
      <c r="A653" s="34" t="n"/>
      <c r="B653" s="34" t="n"/>
    </row>
    <row r="654" ht="13.5" customHeight="1">
      <c r="A654" s="34" t="n"/>
      <c r="B654" s="34" t="n"/>
    </row>
    <row r="655" ht="13.5" customHeight="1">
      <c r="A655" s="34" t="n"/>
      <c r="B655" s="34" t="n"/>
    </row>
    <row r="656" ht="13.5" customHeight="1">
      <c r="A656" s="34" t="n"/>
      <c r="B656" s="34" t="n"/>
    </row>
    <row r="657" ht="13.5" customHeight="1">
      <c r="A657" s="34" t="n"/>
      <c r="B657" s="34" t="n"/>
    </row>
    <row r="658" ht="13.5" customHeight="1">
      <c r="A658" s="34" t="n"/>
      <c r="B658" s="34" t="n"/>
    </row>
    <row r="659" ht="13.5" customHeight="1">
      <c r="A659" s="34" t="n"/>
      <c r="B659" s="34" t="n"/>
    </row>
    <row r="660" ht="13.5" customHeight="1">
      <c r="A660" s="34" t="n"/>
      <c r="B660" s="34" t="n"/>
    </row>
    <row r="661" ht="13.5" customHeight="1">
      <c r="A661" s="34" t="n"/>
      <c r="B661" s="34" t="n"/>
    </row>
    <row r="662" ht="13.5" customHeight="1">
      <c r="A662" s="34" t="n"/>
      <c r="B662" s="34" t="n"/>
    </row>
    <row r="663" ht="13.5" customHeight="1">
      <c r="A663" s="34" t="n"/>
      <c r="B663" s="34" t="n"/>
    </row>
    <row r="664" ht="13.5" customHeight="1">
      <c r="A664" s="34" t="n"/>
      <c r="B664" s="34" t="n"/>
    </row>
    <row r="665" ht="13.5" customHeight="1">
      <c r="A665" s="34" t="n"/>
      <c r="B665" s="34" t="n"/>
    </row>
    <row r="666" ht="13.5" customHeight="1">
      <c r="A666" s="34" t="n"/>
      <c r="B666" s="34" t="n"/>
    </row>
    <row r="667" ht="13.5" customHeight="1">
      <c r="A667" s="34" t="n"/>
      <c r="B667" s="34" t="n"/>
    </row>
    <row r="668" ht="13.5" customHeight="1">
      <c r="A668" s="34" t="n"/>
      <c r="B668" s="34" t="n"/>
    </row>
    <row r="669" ht="13.5" customHeight="1">
      <c r="A669" s="34" t="n"/>
      <c r="B669" s="34" t="n"/>
    </row>
    <row r="670" ht="13.5" customHeight="1">
      <c r="A670" s="34" t="n"/>
      <c r="B670" s="34" t="n"/>
    </row>
    <row r="671" ht="13.5" customHeight="1">
      <c r="A671" s="34" t="n"/>
      <c r="B671" s="34" t="n"/>
    </row>
    <row r="672" ht="13.5" customHeight="1">
      <c r="A672" s="34" t="n"/>
      <c r="B672" s="34" t="n"/>
    </row>
    <row r="673" ht="13.5" customHeight="1">
      <c r="A673" s="34" t="n"/>
      <c r="B673" s="34" t="n"/>
    </row>
    <row r="674" ht="13.5" customHeight="1">
      <c r="A674" s="34" t="n"/>
      <c r="B674" s="34" t="n"/>
    </row>
    <row r="675" ht="13.5" customHeight="1">
      <c r="A675" s="34" t="n"/>
      <c r="B675" s="34" t="n"/>
    </row>
    <row r="676" ht="13.5" customHeight="1">
      <c r="A676" s="34" t="n"/>
      <c r="B676" s="34" t="n"/>
    </row>
    <row r="677" ht="13.5" customHeight="1">
      <c r="A677" s="34" t="n"/>
      <c r="B677" s="34" t="n"/>
    </row>
    <row r="678" ht="13.5" customHeight="1">
      <c r="A678" s="34" t="n"/>
      <c r="B678" s="34" t="n"/>
    </row>
    <row r="679" ht="13.5" customHeight="1">
      <c r="A679" s="34" t="n"/>
      <c r="B679" s="34" t="n"/>
    </row>
    <row r="680" ht="13.5" customHeight="1">
      <c r="A680" s="34" t="n"/>
      <c r="B680" s="34" t="n"/>
    </row>
    <row r="681" ht="13.5" customHeight="1">
      <c r="A681" s="34" t="n"/>
      <c r="B681" s="34" t="n"/>
    </row>
    <row r="682" ht="13.5" customHeight="1">
      <c r="A682" s="34" t="n"/>
      <c r="B682" s="34" t="n"/>
    </row>
    <row r="683" ht="13.5" customHeight="1">
      <c r="A683" s="34" t="n"/>
      <c r="B683" s="34" t="n"/>
    </row>
    <row r="684" ht="13.5" customHeight="1">
      <c r="A684" s="34" t="n"/>
      <c r="B684" s="34" t="n"/>
    </row>
    <row r="685" ht="13.5" customHeight="1">
      <c r="A685" s="34" t="n"/>
      <c r="B685" s="34" t="n"/>
    </row>
    <row r="686" ht="13.5" customHeight="1">
      <c r="A686" s="34" t="n"/>
      <c r="B686" s="34" t="n"/>
    </row>
    <row r="687" ht="13.5" customHeight="1">
      <c r="A687" s="34" t="n"/>
      <c r="B687" s="34" t="n"/>
    </row>
    <row r="688" ht="13.5" customHeight="1">
      <c r="A688" s="34" t="n"/>
      <c r="B688" s="34" t="n"/>
    </row>
    <row r="689" ht="13.5" customHeight="1">
      <c r="A689" s="34" t="n"/>
      <c r="B689" s="34" t="n"/>
    </row>
    <row r="690" ht="13.5" customHeight="1">
      <c r="A690" s="34" t="n"/>
      <c r="B690" s="34" t="n"/>
    </row>
    <row r="691" ht="13.5" customHeight="1">
      <c r="A691" s="34" t="n"/>
      <c r="B691" s="34" t="n"/>
    </row>
    <row r="692" ht="13.5" customHeight="1">
      <c r="A692" s="34" t="n"/>
      <c r="B692" s="34" t="n"/>
    </row>
    <row r="693" ht="13.5" customHeight="1">
      <c r="A693" s="34" t="n"/>
      <c r="B693" s="34" t="n"/>
    </row>
    <row r="694" ht="13.5" customHeight="1">
      <c r="A694" s="34" t="n"/>
      <c r="B694" s="34" t="n"/>
    </row>
    <row r="695" ht="13.5" customHeight="1">
      <c r="A695" s="34" t="n"/>
      <c r="B695" s="34" t="n"/>
    </row>
    <row r="696" ht="13.5" customHeight="1">
      <c r="A696" s="34" t="n"/>
      <c r="B696" s="34" t="n"/>
    </row>
    <row r="697" ht="13.5" customHeight="1">
      <c r="A697" s="34" t="n"/>
      <c r="B697" s="34" t="n"/>
    </row>
    <row r="698" ht="13.5" customHeight="1">
      <c r="A698" s="34" t="n"/>
      <c r="B698" s="34" t="n"/>
    </row>
    <row r="699" ht="13.5" customHeight="1">
      <c r="A699" s="34" t="n"/>
      <c r="B699" s="34" t="n"/>
    </row>
    <row r="700" ht="13.5" customHeight="1">
      <c r="A700" s="34" t="n"/>
      <c r="B700" s="34" t="n"/>
    </row>
    <row r="701" ht="13.5" customHeight="1">
      <c r="A701" s="34" t="n"/>
      <c r="B701" s="34" t="n"/>
    </row>
    <row r="702" ht="13.5" customHeight="1">
      <c r="A702" s="34" t="n"/>
      <c r="B702" s="34" t="n"/>
    </row>
    <row r="703" ht="13.5" customHeight="1">
      <c r="A703" s="34" t="n"/>
      <c r="B703" s="34" t="n"/>
    </row>
    <row r="704" ht="13.5" customHeight="1">
      <c r="A704" s="34" t="n"/>
      <c r="B704" s="34" t="n"/>
    </row>
    <row r="705" ht="13.5" customHeight="1">
      <c r="A705" s="34" t="n"/>
      <c r="B705" s="34" t="n"/>
    </row>
    <row r="706" ht="13.5" customHeight="1">
      <c r="A706" s="34" t="n"/>
      <c r="B706" s="34" t="n"/>
    </row>
    <row r="707" ht="13.5" customHeight="1">
      <c r="A707" s="34" t="n"/>
      <c r="B707" s="34" t="n"/>
    </row>
    <row r="708" ht="13.5" customHeight="1">
      <c r="A708" s="34" t="n"/>
      <c r="B708" s="34" t="n"/>
    </row>
    <row r="709" ht="13.5" customHeight="1">
      <c r="A709" s="34" t="n"/>
      <c r="B709" s="34" t="n"/>
    </row>
    <row r="710" ht="13.5" customHeight="1">
      <c r="A710" s="34" t="n"/>
      <c r="B710" s="34" t="n"/>
    </row>
    <row r="711" ht="13.5" customHeight="1">
      <c r="A711" s="34" t="n"/>
      <c r="B711" s="34" t="n"/>
    </row>
    <row r="712" ht="13.5" customHeight="1">
      <c r="A712" s="34" t="n"/>
      <c r="B712" s="34" t="n"/>
    </row>
    <row r="713" ht="13.5" customHeight="1">
      <c r="A713" s="34" t="n"/>
      <c r="B713" s="34" t="n"/>
    </row>
    <row r="714" ht="13.5" customHeight="1">
      <c r="A714" s="34" t="n"/>
      <c r="B714" s="34" t="n"/>
    </row>
    <row r="715" ht="13.5" customHeight="1">
      <c r="A715" s="34" t="n"/>
      <c r="B715" s="34" t="n"/>
    </row>
    <row r="716" ht="13.5" customHeight="1">
      <c r="A716" s="34" t="n"/>
      <c r="B716" s="34" t="n"/>
    </row>
    <row r="717" ht="13.5" customHeight="1">
      <c r="A717" s="34" t="n"/>
      <c r="B717" s="34" t="n"/>
    </row>
    <row r="718" ht="13.5" customHeight="1">
      <c r="A718" s="34" t="n"/>
      <c r="B718" s="34" t="n"/>
    </row>
    <row r="719" ht="13.5" customHeight="1">
      <c r="A719" s="34" t="n"/>
      <c r="B719" s="34" t="n"/>
    </row>
    <row r="720" ht="13.5" customHeight="1">
      <c r="A720" s="34" t="n"/>
      <c r="B720" s="34" t="n"/>
    </row>
    <row r="721" ht="13.5" customHeight="1">
      <c r="A721" s="34" t="n"/>
      <c r="B721" s="34" t="n"/>
    </row>
    <row r="722" ht="13.5" customHeight="1">
      <c r="A722" s="34" t="n"/>
      <c r="B722" s="34" t="n"/>
    </row>
    <row r="723" ht="13.5" customHeight="1">
      <c r="A723" s="34" t="n"/>
      <c r="B723" s="34" t="n"/>
    </row>
    <row r="724" ht="13.5" customHeight="1">
      <c r="A724" s="34" t="n"/>
      <c r="B724" s="34" t="n"/>
    </row>
    <row r="725" ht="13.5" customHeight="1">
      <c r="A725" s="34" t="n"/>
      <c r="B725" s="34" t="n"/>
    </row>
    <row r="726" ht="13.5" customHeight="1">
      <c r="A726" s="34" t="n"/>
      <c r="B726" s="34" t="n"/>
    </row>
    <row r="727" ht="13.5" customHeight="1">
      <c r="A727" s="34" t="n"/>
      <c r="B727" s="34" t="n"/>
    </row>
    <row r="728" ht="13.5" customHeight="1">
      <c r="A728" s="34" t="n"/>
      <c r="B728" s="34" t="n"/>
    </row>
    <row r="729" ht="13.5" customHeight="1">
      <c r="A729" s="34" t="n"/>
      <c r="B729" s="34" t="n"/>
    </row>
    <row r="730" ht="13.5" customHeight="1">
      <c r="A730" s="34" t="n"/>
      <c r="B730" s="34" t="n"/>
    </row>
    <row r="731" ht="13.5" customHeight="1">
      <c r="A731" s="34" t="n"/>
      <c r="B731" s="34" t="n"/>
    </row>
    <row r="732" ht="13.5" customHeight="1">
      <c r="A732" s="34" t="n"/>
      <c r="B732" s="34" t="n"/>
    </row>
    <row r="733" ht="13.5" customHeight="1">
      <c r="A733" s="34" t="n"/>
      <c r="B733" s="34" t="n"/>
    </row>
    <row r="734" ht="13.5" customHeight="1">
      <c r="A734" s="34" t="n"/>
      <c r="B734" s="34" t="n"/>
    </row>
    <row r="735" ht="13.5" customHeight="1">
      <c r="A735" s="34" t="n"/>
      <c r="B735" s="34" t="n"/>
    </row>
    <row r="736" ht="13.5" customHeight="1">
      <c r="A736" s="34" t="n"/>
      <c r="B736" s="34" t="n"/>
    </row>
    <row r="737" ht="13.5" customHeight="1">
      <c r="A737" s="34" t="n"/>
      <c r="B737" s="34" t="n"/>
    </row>
    <row r="738" ht="13.5" customHeight="1">
      <c r="A738" s="34" t="n"/>
      <c r="B738" s="34" t="n"/>
    </row>
    <row r="739" ht="13.5" customHeight="1">
      <c r="A739" s="34" t="n"/>
      <c r="B739" s="34" t="n"/>
    </row>
    <row r="740" ht="13.5" customHeight="1">
      <c r="A740" s="34" t="n"/>
      <c r="B740" s="34" t="n"/>
    </row>
    <row r="741" ht="13.5" customHeight="1">
      <c r="A741" s="34" t="n"/>
      <c r="B741" s="34" t="n"/>
    </row>
    <row r="742" ht="13.5" customHeight="1">
      <c r="A742" s="34" t="n"/>
      <c r="B742" s="34" t="n"/>
    </row>
    <row r="743" ht="13.5" customHeight="1">
      <c r="A743" s="34" t="n"/>
      <c r="B743" s="34" t="n"/>
    </row>
    <row r="744" ht="13.5" customHeight="1">
      <c r="A744" s="34" t="n"/>
      <c r="B744" s="34" t="n"/>
    </row>
    <row r="745" ht="13.5" customHeight="1">
      <c r="A745" s="34" t="n"/>
      <c r="B745" s="34" t="n"/>
    </row>
    <row r="746" ht="13.5" customHeight="1">
      <c r="A746" s="34" t="n"/>
      <c r="B746" s="34" t="n"/>
    </row>
    <row r="747" ht="13.5" customHeight="1">
      <c r="A747" s="34" t="n"/>
      <c r="B747" s="34" t="n"/>
    </row>
    <row r="748" ht="13.5" customHeight="1">
      <c r="A748" s="34" t="n"/>
      <c r="B748" s="34" t="n"/>
    </row>
    <row r="749" ht="13.5" customHeight="1">
      <c r="A749" s="34" t="n"/>
      <c r="B749" s="34" t="n"/>
    </row>
    <row r="750" ht="13.5" customHeight="1">
      <c r="A750" s="34" t="n"/>
      <c r="B750" s="34" t="n"/>
    </row>
    <row r="751" ht="13.5" customHeight="1">
      <c r="A751" s="34" t="n"/>
      <c r="B751" s="34" t="n"/>
    </row>
    <row r="752" ht="13.5" customHeight="1">
      <c r="A752" s="34" t="n"/>
      <c r="B752" s="34" t="n"/>
    </row>
    <row r="753" ht="13.5" customHeight="1">
      <c r="A753" s="34" t="n"/>
      <c r="B753" s="34" t="n"/>
    </row>
    <row r="754" ht="13.5" customHeight="1">
      <c r="A754" s="34" t="n"/>
      <c r="B754" s="34" t="n"/>
    </row>
    <row r="755" ht="13.5" customHeight="1">
      <c r="A755" s="34" t="n"/>
      <c r="B755" s="34" t="n"/>
    </row>
    <row r="756" ht="13.5" customHeight="1">
      <c r="A756" s="34" t="n"/>
      <c r="B756" s="34" t="n"/>
    </row>
    <row r="757" ht="13.5" customHeight="1">
      <c r="A757" s="34" t="n"/>
      <c r="B757" s="34" t="n"/>
    </row>
    <row r="758" ht="13.5" customHeight="1">
      <c r="A758" s="34" t="n"/>
      <c r="B758" s="34" t="n"/>
    </row>
    <row r="759" ht="13.5" customHeight="1">
      <c r="A759" s="34" t="n"/>
      <c r="B759" s="34" t="n"/>
    </row>
    <row r="760" ht="13.5" customHeight="1">
      <c r="A760" s="34" t="n"/>
      <c r="B760" s="34" t="n"/>
    </row>
    <row r="761" ht="13.5" customHeight="1">
      <c r="A761" s="34" t="n"/>
      <c r="B761" s="34" t="n"/>
    </row>
    <row r="762" ht="13.5" customHeight="1">
      <c r="A762" s="34" t="n"/>
      <c r="B762" s="34" t="n"/>
    </row>
    <row r="763" ht="13.5" customHeight="1">
      <c r="A763" s="34" t="n"/>
      <c r="B763" s="34" t="n"/>
    </row>
    <row r="764" ht="13.5" customHeight="1">
      <c r="A764" s="34" t="n"/>
      <c r="B764" s="34" t="n"/>
    </row>
    <row r="765" ht="13.5" customHeight="1">
      <c r="A765" s="34" t="n"/>
      <c r="B765" s="34" t="n"/>
    </row>
    <row r="766" ht="13.5" customHeight="1">
      <c r="A766" s="34" t="n"/>
      <c r="B766" s="34" t="n"/>
    </row>
    <row r="767" ht="13.5" customHeight="1">
      <c r="A767" s="34" t="n"/>
      <c r="B767" s="34" t="n"/>
    </row>
    <row r="768" ht="13.5" customHeight="1">
      <c r="A768" s="34" t="n"/>
      <c r="B768" s="34" t="n"/>
    </row>
    <row r="769" ht="13.5" customHeight="1">
      <c r="A769" s="34" t="n"/>
      <c r="B769" s="34" t="n"/>
    </row>
    <row r="770" ht="13.5" customHeight="1">
      <c r="A770" s="34" t="n"/>
      <c r="B770" s="34" t="n"/>
    </row>
    <row r="771" ht="13.5" customHeight="1">
      <c r="A771" s="34" t="n"/>
      <c r="B771" s="34" t="n"/>
    </row>
    <row r="772" ht="13.5" customHeight="1">
      <c r="A772" s="34" t="n"/>
      <c r="B772" s="34" t="n"/>
    </row>
    <row r="773" ht="13.5" customHeight="1">
      <c r="A773" s="34" t="n"/>
      <c r="B773" s="34" t="n"/>
    </row>
    <row r="774" ht="13.5" customHeight="1">
      <c r="A774" s="34" t="n"/>
      <c r="B774" s="34" t="n"/>
    </row>
    <row r="775" ht="13.5" customHeight="1">
      <c r="A775" s="34" t="n"/>
      <c r="B775" s="34" t="n"/>
    </row>
    <row r="776" ht="13.5" customHeight="1">
      <c r="A776" s="34" t="n"/>
      <c r="B776" s="34" t="n"/>
    </row>
    <row r="777" ht="13.5" customHeight="1">
      <c r="A777" s="34" t="n"/>
      <c r="B777" s="34" t="n"/>
    </row>
    <row r="778" ht="13.5" customHeight="1">
      <c r="A778" s="34" t="n"/>
      <c r="B778" s="34" t="n"/>
    </row>
    <row r="779" ht="13.5" customHeight="1">
      <c r="A779" s="34" t="n"/>
      <c r="B779" s="34" t="n"/>
    </row>
    <row r="780" ht="13.5" customHeight="1">
      <c r="A780" s="34" t="n"/>
      <c r="B780" s="34" t="n"/>
    </row>
    <row r="781" ht="13.5" customHeight="1">
      <c r="A781" s="34" t="n"/>
      <c r="B781" s="34" t="n"/>
    </row>
    <row r="782" ht="13.5" customHeight="1">
      <c r="A782" s="34" t="n"/>
      <c r="B782" s="34" t="n"/>
    </row>
    <row r="783" ht="13.5" customHeight="1">
      <c r="A783" s="34" t="n"/>
      <c r="B783" s="34" t="n"/>
    </row>
    <row r="784" ht="13.5" customHeight="1">
      <c r="A784" s="34" t="n"/>
      <c r="B784" s="34" t="n"/>
    </row>
    <row r="785" ht="13.5" customHeight="1">
      <c r="A785" s="34" t="n"/>
      <c r="B785" s="34" t="n"/>
    </row>
    <row r="786" ht="13.5" customHeight="1">
      <c r="A786" s="34" t="n"/>
      <c r="B786" s="34" t="n"/>
    </row>
    <row r="787" ht="13.5" customHeight="1">
      <c r="A787" s="34" t="n"/>
      <c r="B787" s="34" t="n"/>
    </row>
    <row r="788" ht="13.5" customHeight="1">
      <c r="A788" s="34" t="n"/>
      <c r="B788" s="34" t="n"/>
    </row>
    <row r="789" ht="13.5" customHeight="1">
      <c r="A789" s="34" t="n"/>
      <c r="B789" s="34" t="n"/>
    </row>
    <row r="790" ht="13.5" customHeight="1">
      <c r="A790" s="34" t="n"/>
      <c r="B790" s="34" t="n"/>
    </row>
    <row r="791" ht="13.5" customHeight="1">
      <c r="A791" s="34" t="n"/>
      <c r="B791" s="34" t="n"/>
    </row>
    <row r="792" ht="13.5" customHeight="1">
      <c r="A792" s="34" t="n"/>
      <c r="B792" s="34" t="n"/>
    </row>
    <row r="793" ht="13.5" customHeight="1">
      <c r="A793" s="34" t="n"/>
      <c r="B793" s="34" t="n"/>
    </row>
    <row r="794" ht="13.5" customHeight="1">
      <c r="A794" s="34" t="n"/>
      <c r="B794" s="34" t="n"/>
    </row>
    <row r="795" ht="13.5" customHeight="1">
      <c r="A795" s="34" t="n"/>
      <c r="B795" s="34" t="n"/>
    </row>
    <row r="796" ht="13.5" customHeight="1">
      <c r="A796" s="34" t="n"/>
      <c r="B796" s="34" t="n"/>
    </row>
    <row r="797" ht="13.5" customHeight="1">
      <c r="A797" s="34" t="n"/>
      <c r="B797" s="34" t="n"/>
    </row>
    <row r="798" ht="13.5" customHeight="1">
      <c r="A798" s="34" t="n"/>
      <c r="B798" s="34" t="n"/>
    </row>
    <row r="799" ht="13.5" customHeight="1">
      <c r="A799" s="34" t="n"/>
      <c r="B799" s="34" t="n"/>
    </row>
    <row r="800" ht="13.5" customHeight="1">
      <c r="A800" s="34" t="n"/>
      <c r="B800" s="34" t="n"/>
    </row>
    <row r="801" ht="13.5" customHeight="1">
      <c r="A801" s="34" t="n"/>
      <c r="B801" s="34" t="n"/>
    </row>
    <row r="802" ht="13.5" customHeight="1">
      <c r="A802" s="34" t="n"/>
      <c r="B802" s="34" t="n"/>
    </row>
    <row r="803" ht="13.5" customHeight="1">
      <c r="A803" s="34" t="n"/>
      <c r="B803" s="34" t="n"/>
    </row>
    <row r="804" ht="13.5" customHeight="1">
      <c r="A804" s="34" t="n"/>
      <c r="B804" s="34" t="n"/>
    </row>
    <row r="805" ht="13.5" customHeight="1">
      <c r="A805" s="34" t="n"/>
      <c r="B805" s="34" t="n"/>
    </row>
    <row r="806" ht="13.5" customHeight="1">
      <c r="A806" s="34" t="n"/>
      <c r="B806" s="34" t="n"/>
    </row>
    <row r="807" ht="13.5" customHeight="1">
      <c r="A807" s="34" t="n"/>
      <c r="B807" s="34" t="n"/>
    </row>
    <row r="808" ht="13.5" customHeight="1">
      <c r="A808" s="34" t="n"/>
      <c r="B808" s="34" t="n"/>
    </row>
    <row r="809" ht="13.5" customHeight="1">
      <c r="A809" s="34" t="n"/>
      <c r="B809" s="34" t="n"/>
    </row>
    <row r="810" ht="13.5" customHeight="1">
      <c r="A810" s="34" t="n"/>
      <c r="B810" s="34" t="n"/>
    </row>
    <row r="811" ht="13.5" customHeight="1">
      <c r="A811" s="34" t="n"/>
      <c r="B811" s="34" t="n"/>
    </row>
    <row r="812" ht="13.5" customHeight="1">
      <c r="A812" s="34" t="n"/>
      <c r="B812" s="34" t="n"/>
    </row>
    <row r="813" ht="13.5" customHeight="1">
      <c r="A813" s="34" t="n"/>
      <c r="B813" s="34" t="n"/>
    </row>
    <row r="814" ht="13.5" customHeight="1">
      <c r="A814" s="34" t="n"/>
      <c r="B814" s="34" t="n"/>
    </row>
    <row r="815" ht="13.5" customHeight="1">
      <c r="A815" s="34" t="n"/>
      <c r="B815" s="34" t="n"/>
    </row>
    <row r="816" ht="13.5" customHeight="1">
      <c r="A816" s="34" t="n"/>
      <c r="B816" s="34" t="n"/>
    </row>
    <row r="817" ht="13.5" customHeight="1">
      <c r="A817" s="34" t="n"/>
      <c r="B817" s="34" t="n"/>
    </row>
    <row r="818" ht="13.5" customHeight="1">
      <c r="A818" s="34" t="n"/>
      <c r="B818" s="34" t="n"/>
    </row>
    <row r="819" ht="13.5" customHeight="1">
      <c r="A819" s="34" t="n"/>
      <c r="B819" s="34" t="n"/>
    </row>
    <row r="820" ht="13.5" customHeight="1">
      <c r="A820" s="34" t="n"/>
      <c r="B820" s="34" t="n"/>
    </row>
    <row r="821" ht="13.5" customHeight="1">
      <c r="A821" s="34" t="n"/>
      <c r="B821" s="34" t="n"/>
    </row>
    <row r="822" ht="13.5" customHeight="1">
      <c r="A822" s="34" t="n"/>
      <c r="B822" s="34" t="n"/>
    </row>
    <row r="823" ht="13.5" customHeight="1">
      <c r="A823" s="34" t="n"/>
      <c r="B823" s="34" t="n"/>
    </row>
    <row r="824" ht="13.5" customHeight="1">
      <c r="A824" s="34" t="n"/>
      <c r="B824" s="34" t="n"/>
    </row>
    <row r="825" ht="13.5" customHeight="1">
      <c r="A825" s="34" t="n"/>
      <c r="B825" s="34" t="n"/>
    </row>
    <row r="826" ht="13.5" customHeight="1">
      <c r="A826" s="34" t="n"/>
      <c r="B826" s="34" t="n"/>
    </row>
    <row r="827" ht="13.5" customHeight="1">
      <c r="A827" s="34" t="n"/>
      <c r="B827" s="34" t="n"/>
    </row>
    <row r="828" ht="13.5" customHeight="1">
      <c r="A828" s="34" t="n"/>
      <c r="B828" s="34" t="n"/>
    </row>
    <row r="829" ht="13.5" customHeight="1">
      <c r="A829" s="34" t="n"/>
      <c r="B829" s="34" t="n"/>
    </row>
    <row r="830" ht="13.5" customHeight="1">
      <c r="A830" s="34" t="n"/>
      <c r="B830" s="34" t="n"/>
    </row>
    <row r="831" ht="13.5" customHeight="1">
      <c r="A831" s="34" t="n"/>
      <c r="B831" s="34" t="n"/>
    </row>
    <row r="832" ht="13.5" customHeight="1">
      <c r="A832" s="34" t="n"/>
      <c r="B832" s="34" t="n"/>
    </row>
    <row r="833" ht="13.5" customHeight="1">
      <c r="A833" s="34" t="n"/>
      <c r="B833" s="34" t="n"/>
    </row>
    <row r="834" ht="13.5" customHeight="1">
      <c r="A834" s="34" t="n"/>
      <c r="B834" s="34" t="n"/>
    </row>
    <row r="835" ht="13.5" customHeight="1">
      <c r="A835" s="34" t="n"/>
      <c r="B835" s="34" t="n"/>
    </row>
    <row r="836" ht="13.5" customHeight="1">
      <c r="A836" s="34" t="n"/>
      <c r="B836" s="34" t="n"/>
    </row>
    <row r="837" ht="13.5" customHeight="1">
      <c r="A837" s="34" t="n"/>
      <c r="B837" s="34" t="n"/>
    </row>
    <row r="838" ht="13.5" customHeight="1">
      <c r="A838" s="34" t="n"/>
      <c r="B838" s="34" t="n"/>
    </row>
    <row r="839" ht="13.5" customHeight="1">
      <c r="A839" s="34" t="n"/>
      <c r="B839" s="34" t="n"/>
    </row>
    <row r="840" ht="13.5" customHeight="1">
      <c r="A840" s="34" t="n"/>
      <c r="B840" s="34" t="n"/>
    </row>
    <row r="841" ht="13.5" customHeight="1">
      <c r="A841" s="34" t="n"/>
      <c r="B841" s="34" t="n"/>
    </row>
    <row r="842" ht="13.5" customHeight="1">
      <c r="A842" s="34" t="n"/>
      <c r="B842" s="34" t="n"/>
    </row>
    <row r="843" ht="13.5" customHeight="1">
      <c r="A843" s="34" t="n"/>
      <c r="B843" s="34" t="n"/>
    </row>
    <row r="844" ht="13.5" customHeight="1">
      <c r="A844" s="34" t="n"/>
      <c r="B844" s="34" t="n"/>
    </row>
    <row r="845" ht="13.5" customHeight="1">
      <c r="A845" s="34" t="n"/>
      <c r="B845" s="34" t="n"/>
    </row>
    <row r="846" ht="13.5" customHeight="1">
      <c r="A846" s="34" t="n"/>
      <c r="B846" s="34" t="n"/>
    </row>
    <row r="847" ht="13.5" customHeight="1">
      <c r="A847" s="34" t="n"/>
      <c r="B847" s="34" t="n"/>
    </row>
    <row r="848" ht="13.5" customHeight="1">
      <c r="A848" s="34" t="n"/>
      <c r="B848" s="34" t="n"/>
    </row>
    <row r="849" ht="13.5" customHeight="1">
      <c r="A849" s="34" t="n"/>
      <c r="B849" s="34" t="n"/>
    </row>
    <row r="850" ht="13.5" customHeight="1">
      <c r="A850" s="34" t="n"/>
      <c r="B850" s="34" t="n"/>
    </row>
    <row r="851" ht="13.5" customHeight="1">
      <c r="A851" s="34" t="n"/>
      <c r="B851" s="34" t="n"/>
    </row>
    <row r="852" ht="13.5" customHeight="1">
      <c r="A852" s="34" t="n"/>
      <c r="B852" s="34" t="n"/>
    </row>
    <row r="853" ht="13.5" customHeight="1">
      <c r="A853" s="34" t="n"/>
      <c r="B853" s="34" t="n"/>
    </row>
    <row r="854" ht="13.5" customHeight="1">
      <c r="A854" s="34" t="n"/>
      <c r="B854" s="34" t="n"/>
    </row>
    <row r="855" ht="13.5" customHeight="1">
      <c r="A855" s="34" t="n"/>
      <c r="B855" s="34" t="n"/>
    </row>
    <row r="856" ht="13.5" customHeight="1">
      <c r="A856" s="34" t="n"/>
      <c r="B856" s="34" t="n"/>
    </row>
    <row r="857" ht="13.5" customHeight="1">
      <c r="A857" s="34" t="n"/>
      <c r="B857" s="34" t="n"/>
    </row>
    <row r="858" ht="13.5" customHeight="1">
      <c r="A858" s="34" t="n"/>
      <c r="B858" s="34" t="n"/>
    </row>
    <row r="859" ht="13.5" customHeight="1">
      <c r="A859" s="34" t="n"/>
      <c r="B859" s="34" t="n"/>
    </row>
    <row r="860" ht="13.5" customHeight="1">
      <c r="A860" s="34" t="n"/>
      <c r="B860" s="34" t="n"/>
    </row>
    <row r="861" ht="13.5" customHeight="1">
      <c r="A861" s="34" t="n"/>
      <c r="B861" s="34" t="n"/>
    </row>
    <row r="862" ht="13.5" customHeight="1">
      <c r="A862" s="34" t="n"/>
      <c r="B862" s="34" t="n"/>
    </row>
    <row r="863" ht="13.5" customHeight="1">
      <c r="A863" s="34" t="n"/>
      <c r="B863" s="34" t="n"/>
    </row>
    <row r="864" ht="13.5" customHeight="1">
      <c r="A864" s="34" t="n"/>
      <c r="B864" s="34" t="n"/>
    </row>
    <row r="865" ht="13.5" customHeight="1">
      <c r="A865" s="34" t="n"/>
      <c r="B865" s="34" t="n"/>
    </row>
    <row r="866" ht="13.5" customHeight="1">
      <c r="A866" s="34" t="n"/>
      <c r="B866" s="34" t="n"/>
    </row>
    <row r="867" ht="13.5" customHeight="1">
      <c r="A867" s="34" t="n"/>
      <c r="B867" s="34" t="n"/>
    </row>
    <row r="868" ht="13.5" customHeight="1">
      <c r="A868" s="34" t="n"/>
      <c r="B868" s="34" t="n"/>
    </row>
    <row r="869" ht="13.5" customHeight="1">
      <c r="A869" s="34" t="n"/>
      <c r="B869" s="34" t="n"/>
    </row>
    <row r="870" ht="13.5" customHeight="1">
      <c r="A870" s="34" t="n"/>
      <c r="B870" s="34" t="n"/>
    </row>
    <row r="871" ht="13.5" customHeight="1">
      <c r="A871" s="34" t="n"/>
      <c r="B871" s="34" t="n"/>
    </row>
    <row r="872" ht="13.5" customHeight="1">
      <c r="A872" s="34" t="n"/>
      <c r="B872" s="34" t="n"/>
    </row>
    <row r="873" ht="13.5" customHeight="1">
      <c r="A873" s="34" t="n"/>
      <c r="B873" s="34" t="n"/>
    </row>
    <row r="874" ht="13.5" customHeight="1">
      <c r="A874" s="34" t="n"/>
      <c r="B874" s="34" t="n"/>
    </row>
    <row r="875" ht="13.5" customHeight="1">
      <c r="A875" s="34" t="n"/>
      <c r="B875" s="34" t="n"/>
    </row>
    <row r="876" ht="13.5" customHeight="1">
      <c r="A876" s="34" t="n"/>
      <c r="B876" s="34" t="n"/>
    </row>
    <row r="877" ht="13.5" customHeight="1">
      <c r="A877" s="34" t="n"/>
      <c r="B877" s="34" t="n"/>
    </row>
    <row r="878" ht="13.5" customHeight="1">
      <c r="A878" s="34" t="n"/>
      <c r="B878" s="34" t="n"/>
    </row>
    <row r="879" ht="13.5" customHeight="1">
      <c r="A879" s="34" t="n"/>
      <c r="B879" s="34" t="n"/>
    </row>
    <row r="880" ht="13.5" customHeight="1">
      <c r="A880" s="34" t="n"/>
      <c r="B880" s="34" t="n"/>
    </row>
    <row r="881" ht="13.5" customHeight="1">
      <c r="A881" s="34" t="n"/>
      <c r="B881" s="34" t="n"/>
    </row>
    <row r="882" ht="13.5" customHeight="1">
      <c r="A882" s="34" t="n"/>
      <c r="B882" s="34" t="n"/>
    </row>
    <row r="883" ht="13.5" customHeight="1">
      <c r="A883" s="34" t="n"/>
      <c r="B883" s="34" t="n"/>
    </row>
    <row r="884" ht="13.5" customHeight="1">
      <c r="A884" s="34" t="n"/>
      <c r="B884" s="34" t="n"/>
    </row>
    <row r="885" ht="13.5" customHeight="1">
      <c r="A885" s="34" t="n"/>
      <c r="B885" s="34" t="n"/>
    </row>
    <row r="886" ht="13.5" customHeight="1">
      <c r="A886" s="34" t="n"/>
      <c r="B886" s="34" t="n"/>
    </row>
    <row r="887" ht="13.5" customHeight="1">
      <c r="A887" s="34" t="n"/>
      <c r="B887" s="34" t="n"/>
    </row>
    <row r="888" ht="13.5" customHeight="1">
      <c r="A888" s="34" t="n"/>
      <c r="B888" s="34" t="n"/>
    </row>
    <row r="889" ht="13.5" customHeight="1">
      <c r="A889" s="34" t="n"/>
      <c r="B889" s="34" t="n"/>
    </row>
    <row r="890" ht="13.5" customHeight="1">
      <c r="A890" s="34" t="n"/>
      <c r="B890" s="34" t="n"/>
    </row>
    <row r="891" ht="13.5" customHeight="1">
      <c r="A891" s="34" t="n"/>
      <c r="B891" s="34" t="n"/>
    </row>
    <row r="892" ht="13.5" customHeight="1">
      <c r="A892" s="34" t="n"/>
      <c r="B892" s="34" t="n"/>
    </row>
    <row r="893" ht="13.5" customHeight="1">
      <c r="A893" s="34" t="n"/>
      <c r="B893" s="34" t="n"/>
    </row>
    <row r="894" ht="13.5" customHeight="1">
      <c r="A894" s="34" t="n"/>
      <c r="B894" s="34" t="n"/>
    </row>
    <row r="895" ht="13.5" customHeight="1">
      <c r="A895" s="34" t="n"/>
      <c r="B895" s="34" t="n"/>
    </row>
    <row r="896" ht="13.5" customHeight="1">
      <c r="A896" s="34" t="n"/>
      <c r="B896" s="34" t="n"/>
    </row>
    <row r="897" ht="13.5" customHeight="1">
      <c r="A897" s="34" t="n"/>
      <c r="B897" s="34" t="n"/>
    </row>
    <row r="898" ht="13.5" customHeight="1">
      <c r="A898" s="34" t="n"/>
      <c r="B898" s="34" t="n"/>
    </row>
    <row r="899" ht="13.5" customHeight="1">
      <c r="A899" s="34" t="n"/>
      <c r="B899" s="34" t="n"/>
    </row>
    <row r="900" ht="13.5" customHeight="1">
      <c r="A900" s="34" t="n"/>
      <c r="B900" s="34" t="n"/>
    </row>
    <row r="901" ht="13.5" customHeight="1">
      <c r="A901" s="34" t="n"/>
      <c r="B901" s="34" t="n"/>
    </row>
    <row r="902" ht="13.5" customHeight="1">
      <c r="A902" s="34" t="n"/>
      <c r="B902" s="34" t="n"/>
    </row>
    <row r="903" ht="13.5" customHeight="1">
      <c r="A903" s="34" t="n"/>
      <c r="B903" s="34" t="n"/>
    </row>
    <row r="904" ht="13.5" customHeight="1">
      <c r="A904" s="34" t="n"/>
      <c r="B904" s="34" t="n"/>
    </row>
    <row r="905" ht="13.5" customHeight="1">
      <c r="A905" s="34" t="n"/>
      <c r="B905" s="34" t="n"/>
    </row>
    <row r="906" ht="13.5" customHeight="1">
      <c r="A906" s="34" t="n"/>
      <c r="B906" s="34" t="n"/>
    </row>
    <row r="907" ht="13.5" customHeight="1">
      <c r="A907" s="34" t="n"/>
      <c r="B907" s="34" t="n"/>
    </row>
    <row r="908" ht="13.5" customHeight="1">
      <c r="A908" s="34" t="n"/>
      <c r="B908" s="34" t="n"/>
    </row>
    <row r="909" ht="13.5" customHeight="1">
      <c r="A909" s="34" t="n"/>
      <c r="B909" s="34" t="n"/>
    </row>
    <row r="910" ht="13.5" customHeight="1">
      <c r="A910" s="34" t="n"/>
      <c r="B910" s="34" t="n"/>
    </row>
    <row r="911" ht="13.5" customHeight="1">
      <c r="A911" s="34" t="n"/>
      <c r="B911" s="34" t="n"/>
    </row>
    <row r="912" ht="13.5" customHeight="1">
      <c r="A912" s="34" t="n"/>
      <c r="B912" s="34" t="n"/>
    </row>
    <row r="913" ht="13.5" customHeight="1">
      <c r="A913" s="34" t="n"/>
      <c r="B913" s="34" t="n"/>
    </row>
    <row r="914" ht="13.5" customHeight="1">
      <c r="A914" s="34" t="n"/>
      <c r="B914" s="34" t="n"/>
    </row>
    <row r="915" ht="13.5" customHeight="1">
      <c r="A915" s="34" t="n"/>
      <c r="B915" s="34" t="n"/>
    </row>
    <row r="916" ht="13.5" customHeight="1">
      <c r="A916" s="34" t="n"/>
      <c r="B916" s="34" t="n"/>
    </row>
    <row r="917" ht="13.5" customHeight="1">
      <c r="A917" s="34" t="n"/>
      <c r="B917" s="34" t="n"/>
    </row>
    <row r="918" ht="13.5" customHeight="1">
      <c r="A918" s="34" t="n"/>
      <c r="B918" s="34" t="n"/>
    </row>
    <row r="919" ht="13.5" customHeight="1">
      <c r="A919" s="34" t="n"/>
      <c r="B919" s="34" t="n"/>
    </row>
    <row r="920" ht="13.5" customHeight="1">
      <c r="A920" s="34" t="n"/>
      <c r="B920" s="34" t="n"/>
    </row>
    <row r="921" ht="13.5" customHeight="1">
      <c r="A921" s="34" t="n"/>
      <c r="B921" s="34" t="n"/>
    </row>
    <row r="922" ht="13.5" customHeight="1">
      <c r="A922" s="34" t="n"/>
      <c r="B922" s="34" t="n"/>
    </row>
    <row r="923" ht="13.5" customHeight="1">
      <c r="A923" s="34" t="n"/>
      <c r="B923" s="34" t="n"/>
    </row>
    <row r="924" ht="13.5" customHeight="1">
      <c r="A924" s="34" t="n"/>
      <c r="B924" s="34" t="n"/>
    </row>
    <row r="925" ht="13.5" customHeight="1">
      <c r="A925" s="34" t="n"/>
      <c r="B925" s="34" t="n"/>
    </row>
    <row r="926" ht="13.5" customHeight="1">
      <c r="A926" s="34" t="n"/>
      <c r="B926" s="34" t="n"/>
    </row>
    <row r="927" ht="13.5" customHeight="1">
      <c r="A927" s="34" t="n"/>
      <c r="B927" s="34" t="n"/>
    </row>
    <row r="928" ht="13.5" customHeight="1">
      <c r="A928" s="34" t="n"/>
      <c r="B928" s="34" t="n"/>
    </row>
    <row r="929" ht="13.5" customHeight="1">
      <c r="A929" s="34" t="n"/>
      <c r="B929" s="34" t="n"/>
    </row>
    <row r="930" ht="13.5" customHeight="1">
      <c r="A930" s="34" t="n"/>
      <c r="B930" s="34" t="n"/>
    </row>
    <row r="931" ht="13.5" customHeight="1">
      <c r="A931" s="34" t="n"/>
      <c r="B931" s="34" t="n"/>
    </row>
    <row r="932" ht="13.5" customHeight="1">
      <c r="A932" s="34" t="n"/>
      <c r="B932" s="34" t="n"/>
    </row>
    <row r="933" ht="13.5" customHeight="1">
      <c r="A933" s="34" t="n"/>
      <c r="B933" s="34" t="n"/>
    </row>
    <row r="934" ht="13.5" customHeight="1">
      <c r="A934" s="34" t="n"/>
      <c r="B934" s="34" t="n"/>
    </row>
    <row r="935" ht="13.5" customHeight="1">
      <c r="A935" s="34" t="n"/>
      <c r="B935" s="34" t="n"/>
    </row>
    <row r="936" ht="13.5" customHeight="1">
      <c r="A936" s="34" t="n"/>
      <c r="B936" s="34" t="n"/>
    </row>
    <row r="937" ht="13.5" customHeight="1">
      <c r="A937" s="34" t="n"/>
      <c r="B937" s="34" t="n"/>
    </row>
    <row r="938" ht="13.5" customHeight="1">
      <c r="A938" s="34" t="n"/>
      <c r="B938" s="34" t="n"/>
    </row>
    <row r="939" ht="13.5" customHeight="1">
      <c r="A939" s="34" t="n"/>
      <c r="B939" s="34" t="n"/>
    </row>
    <row r="940" ht="13.5" customHeight="1">
      <c r="A940" s="34" t="n"/>
      <c r="B940" s="34" t="n"/>
    </row>
    <row r="941" ht="13.5" customHeight="1">
      <c r="A941" s="34" t="n"/>
      <c r="B941" s="34" t="n"/>
    </row>
    <row r="942" ht="13.5" customHeight="1">
      <c r="A942" s="34" t="n"/>
      <c r="B942" s="34" t="n"/>
    </row>
    <row r="943" ht="13.5" customHeight="1">
      <c r="A943" s="34" t="n"/>
      <c r="B943" s="34" t="n"/>
    </row>
    <row r="944" ht="13.5" customHeight="1">
      <c r="A944" s="34" t="n"/>
      <c r="B944" s="34" t="n"/>
    </row>
    <row r="945" ht="13.5" customHeight="1">
      <c r="A945" s="34" t="n"/>
      <c r="B945" s="34" t="n"/>
    </row>
    <row r="946" ht="13.5" customHeight="1">
      <c r="A946" s="34" t="n"/>
      <c r="B946" s="34" t="n"/>
    </row>
    <row r="947" ht="13.5" customHeight="1">
      <c r="A947" s="34" t="n"/>
      <c r="B947" s="34" t="n"/>
    </row>
    <row r="948" ht="13.5" customHeight="1">
      <c r="A948" s="34" t="n"/>
      <c r="B948" s="34" t="n"/>
    </row>
    <row r="949" ht="13.5" customHeight="1">
      <c r="A949" s="34" t="n"/>
      <c r="B949" s="34" t="n"/>
    </row>
    <row r="950" ht="13.5" customHeight="1">
      <c r="A950" s="34" t="n"/>
      <c r="B950" s="34" t="n"/>
    </row>
    <row r="951" ht="13.5" customHeight="1">
      <c r="A951" s="34" t="n"/>
      <c r="B951" s="34" t="n"/>
    </row>
    <row r="952" ht="13.5" customHeight="1">
      <c r="A952" s="34" t="n"/>
      <c r="B952" s="34" t="n"/>
    </row>
    <row r="953" ht="13.5" customHeight="1">
      <c r="A953" s="34" t="n"/>
      <c r="B953" s="34" t="n"/>
    </row>
    <row r="954" ht="13.5" customHeight="1">
      <c r="A954" s="34" t="n"/>
      <c r="B954" s="34" t="n"/>
    </row>
    <row r="955" ht="13.5" customHeight="1">
      <c r="A955" s="34" t="n"/>
      <c r="B955" s="34" t="n"/>
    </row>
    <row r="956" ht="13.5" customHeight="1">
      <c r="A956" s="34" t="n"/>
      <c r="B956" s="34" t="n"/>
    </row>
    <row r="957" ht="13.5" customHeight="1">
      <c r="A957" s="34" t="n"/>
      <c r="B957" s="34" t="n"/>
    </row>
    <row r="958" ht="13.5" customHeight="1">
      <c r="A958" s="34" t="n"/>
      <c r="B958" s="34" t="n"/>
    </row>
    <row r="959" ht="13.5" customHeight="1">
      <c r="A959" s="34" t="n"/>
      <c r="B959" s="34" t="n"/>
    </row>
    <row r="960" ht="13.5" customHeight="1">
      <c r="A960" s="34" t="n"/>
      <c r="B960" s="34" t="n"/>
    </row>
    <row r="961" ht="13.5" customHeight="1">
      <c r="A961" s="34" t="n"/>
      <c r="B961" s="34" t="n"/>
    </row>
    <row r="962" ht="13.5" customHeight="1">
      <c r="A962" s="34" t="n"/>
      <c r="B962" s="34" t="n"/>
    </row>
    <row r="963" ht="13.5" customHeight="1">
      <c r="A963" s="34" t="n"/>
      <c r="B963" s="34" t="n"/>
    </row>
    <row r="964" ht="13.5" customHeight="1">
      <c r="A964" s="34" t="n"/>
      <c r="B964" s="34" t="n"/>
    </row>
    <row r="965" ht="13.5" customHeight="1">
      <c r="A965" s="34" t="n"/>
      <c r="B965" s="34" t="n"/>
    </row>
    <row r="966" ht="13.5" customHeight="1">
      <c r="A966" s="34" t="n"/>
      <c r="B966" s="34" t="n"/>
    </row>
    <row r="967" ht="13.5" customHeight="1">
      <c r="A967" s="34" t="n"/>
      <c r="B967" s="34" t="n"/>
    </row>
    <row r="968" ht="13.5" customHeight="1">
      <c r="A968" s="34" t="n"/>
      <c r="B968" s="34" t="n"/>
    </row>
    <row r="969" ht="13.5" customHeight="1">
      <c r="A969" s="34" t="n"/>
      <c r="B969" s="34" t="n"/>
    </row>
    <row r="970" ht="13.5" customHeight="1">
      <c r="A970" s="34" t="n"/>
      <c r="B970" s="34" t="n"/>
    </row>
    <row r="971" ht="13.5" customHeight="1">
      <c r="A971" s="34" t="n"/>
      <c r="B971" s="34" t="n"/>
    </row>
    <row r="972" ht="13.5" customHeight="1">
      <c r="A972" s="34" t="n"/>
      <c r="B972" s="34" t="n"/>
    </row>
    <row r="973" ht="13.5" customHeight="1">
      <c r="A973" s="34" t="n"/>
      <c r="B973" s="34" t="n"/>
    </row>
    <row r="974" ht="13.5" customHeight="1">
      <c r="A974" s="34" t="n"/>
      <c r="B974" s="34" t="n"/>
    </row>
    <row r="975" ht="13.5" customHeight="1">
      <c r="A975" s="34" t="n"/>
      <c r="B975" s="34" t="n"/>
    </row>
    <row r="976" ht="13.5" customHeight="1">
      <c r="A976" s="34" t="n"/>
      <c r="B976" s="34" t="n"/>
    </row>
    <row r="977" ht="13.5" customHeight="1">
      <c r="A977" s="34" t="n"/>
      <c r="B977" s="34" t="n"/>
    </row>
    <row r="978" ht="13.5" customHeight="1">
      <c r="A978" s="34" t="n"/>
      <c r="B978" s="34" t="n"/>
    </row>
    <row r="979" ht="13.5" customHeight="1">
      <c r="A979" s="34" t="n"/>
      <c r="B979" s="34" t="n"/>
    </row>
    <row r="980" ht="13.5" customHeight="1">
      <c r="A980" s="34" t="n"/>
      <c r="B980" s="34" t="n"/>
    </row>
    <row r="981" ht="13.5" customHeight="1">
      <c r="A981" s="34" t="n"/>
      <c r="B981" s="34" t="n"/>
    </row>
    <row r="982" ht="13.5" customHeight="1">
      <c r="A982" s="34" t="n"/>
      <c r="B982" s="34" t="n"/>
    </row>
    <row r="983" ht="13.5" customHeight="1">
      <c r="A983" s="34" t="n"/>
      <c r="B983" s="34" t="n"/>
    </row>
    <row r="984" ht="13.5" customHeight="1">
      <c r="A984" s="34" t="n"/>
      <c r="B984" s="34" t="n"/>
    </row>
    <row r="985" ht="13.5" customHeight="1">
      <c r="A985" s="34" t="n"/>
      <c r="B985" s="34" t="n"/>
    </row>
    <row r="986" ht="13.5" customHeight="1">
      <c r="A986" s="34" t="n"/>
      <c r="B986" s="34" t="n"/>
    </row>
    <row r="987" ht="13.5" customHeight="1">
      <c r="A987" s="34" t="n"/>
      <c r="B987" s="34" t="n"/>
    </row>
    <row r="988" ht="13.5" customHeight="1">
      <c r="A988" s="34" t="n"/>
      <c r="B988" s="34" t="n"/>
    </row>
    <row r="989" ht="13.5" customHeight="1">
      <c r="A989" s="34" t="n"/>
      <c r="B989" s="34" t="n"/>
    </row>
    <row r="990" ht="13.5" customHeight="1">
      <c r="A990" s="34" t="n"/>
      <c r="B990" s="34" t="n"/>
    </row>
    <row r="991" ht="13.5" customHeight="1">
      <c r="A991" s="34" t="n"/>
      <c r="B991" s="34" t="n"/>
    </row>
    <row r="992" ht="13.5" customHeight="1">
      <c r="A992" s="34" t="n"/>
      <c r="B992" s="34" t="n"/>
    </row>
    <row r="993" ht="13.5" customHeight="1">
      <c r="A993" s="34" t="n"/>
      <c r="B993" s="34" t="n"/>
    </row>
    <row r="994" ht="13.5" customHeight="1">
      <c r="A994" s="34" t="n"/>
      <c r="B994" s="34" t="n"/>
    </row>
    <row r="995" ht="13.5" customHeight="1">
      <c r="A995" s="34" t="n"/>
      <c r="B995" s="34" t="n"/>
    </row>
    <row r="996" ht="13.5" customHeight="1">
      <c r="A996" s="34" t="n"/>
      <c r="B996" s="34" t="n"/>
    </row>
    <row r="997" ht="13.5" customHeight="1">
      <c r="A997" s="34" t="n"/>
      <c r="B997" s="34" t="n"/>
    </row>
    <row r="998" ht="13.5" customHeight="1">
      <c r="A998" s="34" t="n"/>
      <c r="B998" s="34" t="n"/>
    </row>
    <row r="999" ht="13.5" customHeight="1">
      <c r="A999" s="34" t="n"/>
      <c r="B999" s="34" t="n"/>
    </row>
    <row r="1000" ht="13.5" customHeight="1">
      <c r="A1000" s="34" t="n"/>
      <c r="B1000" s="34" t="n"/>
    </row>
  </sheetData>
  <autoFilter ref="A5:J1000"/>
  <dataValidations count="2">
    <dataValidation sqref="A6:A1000" showDropDown="0" showInputMessage="1" showErrorMessage="1" allowBlank="1" prompt="Escolha uma opção cadastrada." type="list">
      <formula1>Favoritas!$A$6:$A$1000</formula1>
    </dataValidation>
    <dataValidation sqref="B6:B1000" showDropDown="0" showInputMessage="1" showErrorMessage="1" allowBlank="1" prompt="Escolha uma opção cadastrada." type="list">
      <formula1>Alimentos!$A$6:$A$1000</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2:I184"/>
  <sheetViews>
    <sheetView showGridLines="1" workbookViewId="0">
      <selection activeCell="A1" sqref="A1"/>
    </sheetView>
  </sheetViews>
  <sheetFormatPr baseColWidth="8" defaultRowHeight="15"/>
  <sheetData>
    <row r="2">
      <c r="A2" t="inlineStr">
        <is>
          <t>Registro de alterações</t>
        </is>
      </c>
    </row>
    <row r="3">
      <c r="A3" t="inlineStr">
        <is>
          <t>Usado por Desfazer. Uma linha por linha/célula alterada; linhas com o mesmo ID ação formam uma ação.</t>
        </is>
      </c>
    </row>
    <row r="5">
      <c r="A5" t="inlineStr">
        <is>
          <t>Quando</t>
        </is>
      </c>
      <c r="B5" t="inlineStr">
        <is>
          <t>ID ação</t>
        </is>
      </c>
      <c r="C5" t="inlineStr">
        <is>
          <t>Ação</t>
        </is>
      </c>
      <c r="D5" t="inlineStr">
        <is>
          <t>Aba</t>
        </is>
      </c>
      <c r="E5" t="inlineStr">
        <is>
          <t>Linha</t>
        </is>
      </c>
      <c r="F5" t="inlineStr">
        <is>
          <t>Tipo</t>
        </is>
      </c>
      <c r="G5" t="inlineStr">
        <is>
          <t>Antes (JSON)</t>
        </is>
      </c>
      <c r="H5" t="inlineStr">
        <is>
          <t>Depois (JSON)</t>
        </is>
      </c>
      <c r="I5" t="inlineStr">
        <is>
          <t>Desfeito</t>
        </is>
      </c>
    </row>
    <row r="6">
      <c r="A6" s="46" t="n">
        <v>46294.5</v>
      </c>
      <c r="B6" t="inlineStr">
        <is>
          <t>mumsz1c090e2</t>
        </is>
      </c>
      <c r="C6" t="inlineStr">
        <is>
          <t>Migrar 3.0 → 4.0</t>
        </is>
      </c>
      <c r="D6" t="inlineStr">
        <is>
          <t>Metas</t>
        </is>
      </c>
      <c r="F6" t="inlineStr">
        <is>
          <t>Estrutura</t>
        </is>
      </c>
      <c r="H6" t="inlineStr">
        <is>
          <t>{"op":"renameSheet","from":"Histórico de metas","to":"Metas"}</t>
        </is>
      </c>
    </row>
    <row r="7">
      <c r="A7" s="46" t="n">
        <v>46294.5</v>
      </c>
      <c r="B7" t="inlineStr">
        <is>
          <t>mumsz1c090e2</t>
        </is>
      </c>
      <c r="C7" t="inlineStr">
        <is>
          <t>Migrar 3.0 → 4.0</t>
        </is>
      </c>
      <c r="D7" t="inlineStr">
        <is>
          <t>Fichas</t>
        </is>
      </c>
      <c r="F7" t="inlineStr">
        <is>
          <t>Estrutura</t>
        </is>
      </c>
      <c r="H7" t="inlineStr">
        <is>
          <t>{"op":"renameSheet","from":"Histórico de fichas","to":"Fichas"}</t>
        </is>
      </c>
    </row>
    <row r="8">
      <c r="A8" s="46" t="n">
        <v>46294.5</v>
      </c>
      <c r="B8" t="inlineStr">
        <is>
          <t>mumsz1c090e2</t>
        </is>
      </c>
      <c r="C8" t="inlineStr">
        <is>
          <t>Migrar 3.0 → 4.0</t>
        </is>
      </c>
      <c r="D8" t="inlineStr">
        <is>
          <t>Config</t>
        </is>
      </c>
      <c r="F8" t="inlineStr">
        <is>
          <t>Estrutura</t>
        </is>
      </c>
      <c r="H8" t="inlineStr">
        <is>
          <t>{"op":"renameSheet","from":"Macros e perfil","to":"Config"}</t>
        </is>
      </c>
    </row>
    <row r="9">
      <c r="A9" s="46" t="n">
        <v>46294.5</v>
      </c>
      <c r="B9" t="inlineStr">
        <is>
          <t>mumsz1c090e2</t>
        </is>
      </c>
      <c r="C9" t="inlineStr">
        <is>
          <t>Migrar 3.0 → 4.0</t>
        </is>
      </c>
      <c r="D9" t="inlineStr">
        <is>
          <t>Guia</t>
        </is>
      </c>
      <c r="F9" t="inlineStr">
        <is>
          <t>Estrutura</t>
        </is>
      </c>
      <c r="H9" t="inlineStr">
        <is>
          <t>{"op":"renameSheet","from":"Guia e fontes","to":"Guia"}</t>
        </is>
      </c>
    </row>
    <row r="10">
      <c r="A10" s="46" t="n">
        <v>46294.5</v>
      </c>
      <c r="B10" t="inlineStr">
        <is>
          <t>mumsz1c090e2</t>
        </is>
      </c>
      <c r="C10" t="inlineStr">
        <is>
          <t>Migrar 3.0 → 4.0</t>
        </is>
      </c>
      <c r="D10" t="inlineStr">
        <is>
          <t>Evolução</t>
        </is>
      </c>
      <c r="F10" t="inlineStr">
        <is>
          <t>Estrutura</t>
        </is>
      </c>
      <c r="H10" t="inlineStr">
        <is>
          <t>{"op":"insertSheet","name":"Evolução"}</t>
        </is>
      </c>
    </row>
    <row r="11">
      <c r="A11" s="46" t="n">
        <v>46294.5</v>
      </c>
      <c r="B11" t="inlineStr">
        <is>
          <t>mumsz1c090e2</t>
        </is>
      </c>
      <c r="C11" t="inlineStr">
        <is>
          <t>Migrar 3.0 → 4.0</t>
        </is>
      </c>
      <c r="D11" t="inlineStr">
        <is>
          <t>Objetivos</t>
        </is>
      </c>
      <c r="F11" t="inlineStr">
        <is>
          <t>Estrutura</t>
        </is>
      </c>
      <c r="H11" t="inlineStr">
        <is>
          <t>{"op":"insertSheet","name":"Objetivos"}</t>
        </is>
      </c>
    </row>
    <row r="12">
      <c r="A12" s="46" t="n">
        <v>46294.5</v>
      </c>
      <c r="B12" t="inlineStr">
        <is>
          <t>mumsz1c090e2</t>
        </is>
      </c>
      <c r="C12" t="inlineStr">
        <is>
          <t>Migrar 3.0 → 4.0</t>
        </is>
      </c>
      <c r="D12" t="inlineStr">
        <is>
          <t>Auditoria</t>
        </is>
      </c>
      <c r="F12" t="inlineStr">
        <is>
          <t>Estrutura</t>
        </is>
      </c>
      <c r="H12" t="inlineStr">
        <is>
          <t>{"op":"insertSheet","name":"Auditoria"}</t>
        </is>
      </c>
    </row>
    <row r="13">
      <c r="A13" s="46" t="n">
        <v>46294.5</v>
      </c>
      <c r="B13" t="inlineStr">
        <is>
          <t>mumsz1c090e2</t>
        </is>
      </c>
      <c r="C13" t="inlineStr">
        <is>
          <t>Migrar 3.0 → 4.0</t>
        </is>
      </c>
      <c r="D13" t="inlineStr">
        <is>
          <t>Config</t>
        </is>
      </c>
      <c r="F13" t="inlineStr">
        <is>
          <t>Células</t>
        </is>
      </c>
      <c r="G13" t="inlineStr">
        <is>
          <t>{"A2":"Projeto Breno : perfil e referências iniciais","A3":"Para mudar metas após o início, use Nova meta na tela Hoje. O histórico preserva os dias já salvos.","A5":"Parâmetro","B5":"Valor editável","C5":"Unidade / critério","D5":"Origem e pendência","E5":"","A6":"Nome","B6":"Breno","D6":"Informado no chat","A7":"Idade","B7":24,"C7":"anos","D7":"24 no cadastro; confirmar quando oportuno.","E7":"","A8":"Altura","B8":1.79,"C8":"m","D8":"Informado","E8":"","A9":"Peso inicial","B9":67,"C9":"kg","D9":"Informado; não é medição datada","E9":"","A10":"Início do acompanhamento","B10":{"$d":"2026-09-21T03:00:00.000Z"},"C10":"data","D10":"Data do primeiro registro. O histórico usa datas reais.","E10":"","A11":"Meta de musculação","B11":3,"C11":"sessões/semana","D11":"Ajustar se a recuperação exigir","E11":"","A12":"Muay Thai","B12":2,"C12":"sessões/semana","D12":"Dias exatos a confirmar","E12":"","A13":"Cardio extra","B13":0,"C13":"sessões/semana","D13":"Sem cardio extra inicialmente","E13":"","A14":"Proteína de referência","B14":140,"C14":"g/dia","D14":"Referência inicial. Metas vigentes e alterações ficam em Histórico de metas.","E14":"","A15":"Proteína faixa inferior","B15":135,"C15":"g/dia","D15":"Faixa discutida no chat","E15":"","A16":"Proteína faixa superior","B16":145,"C16":"g/dia","D16":"Faixa discutida no chat","A17":"Energia de referência","B17":2400,"C17":"kcal/dia","D17":"Referência inicial; novas metas devem ser criadas pelo botão Nova meta.","E17":"","A18":"Gordura de referência","B18":65,"C18":"g/dia","D18":"Faixa discutida: 60–70 g/dia","E18":"","A19":"Carboidrato de referência","B19":{"$f":"=IF(OR(B17=\"\",B18=\"\",B14=\"\"),\"\",(B17-4*B14-9*B18)/4)"},"C19":"g/dia","D19":"Calculado pelo saldo de energia após proteína e gordura","E19":"","A20":"Proteína / peso inicial","B20":{"$f":"=IF(OR(B9=\"\",B14=\"\"),\"\",B14/B9)"},"C20":"g/kg/dia","D20":"Calculado a partir da referência, sem estimar gasto","E20":"","A21":"Creatina planejada","B21":"","C21":"g/dia","D21":"Uso não confirmado no chat do Breno","E21":"","A22":"Início da creatina","B22":"","C22":"data","D22":"Ajuda a interpretar mudanças de água corporal","E22":"","A23":"Saúde","B23":"Não informado","D23":"Relato, não avaliação clínica","A24":"Tabagismo","B24":"Não informado","C24":"","D24":"Não informado para Breno.","E24":"","A25":"Rotina","B25":"Pouca caminhada","C25":"","D25":"Rotina individual do Breno.","E25":"","A26":"Objetivo","B26":"Recomposição corporal","D26":"Ganhar músculo e acompanhar cintura, desempenho e recuperação","A27":"Status da ficha","B27":"F002 — vigente desde 28/09/2026","C27":"","D27":"Luan revisa exercícios, séries e recuperação","E27":"","A28":"Revisor","B28":"Luan","C28":"","D28":"Preencher data de revisão na aba Revisões","E28":"","A29":"Versão","B29":"3.0 — Google Sheets / work sets","C29":"","D29":"Criada em 15/09/2026","E29":"","A30":"Semanas disponíveis","B30":"Expansível","C30":"semanas","D30":"Tabelas crescem ao salvar. Cadastros: use Tab na última célula da tabela.","E30":"","A31":"","B31":"","C31":"","D31":"","E31":"","A32":"","B32":"","C32":"","D32":"","E32":"","A33":"Total da dieta base","B33":"Calculado","C33":"Unidade","D33":"Leitura","E33":"","A34":"Energia proposta","B34":{"$f":"='Dieta base'!E31"},"C34":"kcal","D34":"Comparar com referência inicial de 2.400 kcal.","E34":"","A35":"Proteína proposta","B35":{"$f":"='Dieta base'!F31"},"C35":"g","D35":"","E35":"","A36":"Carboidrato proposto","B36":{"$f":"='Dieta base'!G31"},"C36":"g","D36":"","E36":"","A37":"Gordura proposta","B37":{"$f":"='Dieta base'!H31"},"C37":"g","D37":"","E37":"","A38":"Fibra proposta","B38":{"$f":"='Dieta base'!I31"},"C38":"g","D38":"Aumentar fibras gradualmente conforme tolerância digestiva.","E38":"","A39":"","B39":"","C39":"","D39":"","E39":"","B40":"","A41":"","B41":"","E41":"","A42":"","B42":"","E42":"","A43":"","B43":"","C43":"","D43":"","E43":""}</t>
        </is>
      </c>
      <c r="H13" t="inlineStr">
        <is>
          <t>{"A2":"Configuração","A3":"Perfil, rotina e limites da análise. Edite só a coluna Valor. Objetivo, meta e ficha atuais vêm das abas de histórico.","A5":"Chave","B5":"Parâmetro","C5":"Valor","D5":"Unidade","E5":"Descrição","A6":"","B6":"Perfil","D6":"","A7":"client.name","B7":"Nome","C7":"Breno","D7":"","E7":"Nome exibido nos títulos e no Painel.","A8":"client.sex","B8":"Sexo (TMB)","C8":"M","D8":"M/F","E8":"Usado só na equação de TMB (Mifflin-St Jeor).","A9":"client.birthDate","B9":"Data de nascimento","C9":"","D9":"data","E9":"Se preenchida, a idade é calculada na data de cada meta.","A10":"client.age","B10":"Idade","C10":24,"D10":"anos","E10":"Usada quando a data de nascimento não foi informada.","A11":"client.heightCm","B11":"Altura","C11":179,"D11":"cm","E11":"Altura em centímetros.","A12":"client.startWeightKg","B12":"Peso inicial","C12":67,"D12":"kg","E12":"Peso no início do acompanhamento (referência, não medição datada).","A13":"client.startDate","B13":"Início do acompanhamento","C13":{"$d":"2026-09-21T03:00:00.000Z"},"D13":"data","E13":"Data do primeiro registro.","A14":"client.reviewer","B14":"Revisor","C14":"Luan","D14":"","E14":"Quem revisa metas, fichas e fases.","A15":"client.notes","B15":"Observações do perfil","C15":"Saúde: não informado (relato, não avaliação clínica). Tabagismo: não informado. Rotina: pouca caminhada. Creatina: uso não confirmado.","D15":"","E15":"Saúde, suplementos, rotina e outros fatos relatados (não é avaliação clínica).","A16":"","B16":"Rotina","C16":"","D16":"","A17":"routine.strengthPerWeek","B17":"Musculação","C17":3,"D17":"sessões/semana","E17":"Treinos de musculação planejados por semana.","A18":"routine.cardioPerWeek","B18":"Cardio","C18":0,"D18":"sessões/semana","E18":"Sessões de cardio planejadas por semana.","A19":"routine.activities","B19":"Atividades","C19":"Muay Thai","D19":"","E19":"Outras atividades (ex.: luta, corrida).","A20":"routine.activitiesPerWeek","B20":"Atividades por semana","C20":2,"D20":"sessões/semana","E20":"Sessões das outras atividades por semana.","A21":"routine.sessionRotation","B21":"Rotação de sessões","C21":"Upper, Lower, Full Body","D21":"lista","E21":"Sessões da ficha em ordem, separadas por vírgula.","A22":"routine.rotationMode","B22":"Modo da rotação","C22":"continuous","D22":"","E22":"continuous = próxima sessão após a última concluída; weekly = recomeça toda semana.","A23":"","B23":"Energia","D23":"","A24":"energy.bmrMethod","B24":"Método da TMB","C24":"mifflin","D24":"","E24":"Equação usada para a taxa metabólica basal.","A25":"energy.activityFactor","B25":"Fator de atividade","C25":1.55,"D25":"×","E25":"Multiplica a TMB para o gasto estimado. Estimativa: revisar.","A26":"","B26":"Análise","D26":"","A27":"analysis.weightTrendDays","B27":"Dias da média de peso","C27":7,"D27":"dias","E27":"Janela da média móvel de peso.","A28":"analysis.minWeighInsPerWeek","B28":"Pesagens mínimas","C28":3,"D28":"por semana","E28":"Abaixo disso a tendência de peso é dados insuficientes.","A29":"analysis.minCompleteFoodDays","B29":"Dias completos mínimos","C29":4,"D29":"por semana","E29":"Dias com alimentação completa para avaliar a dieta.","A30":"analysis.kcalTolerance","B30":"Tolerância kcal","C30":0.05,"D30":"fração","E30":"Faixa aceita em torno da meta de kcal (0,05 = ±5%).","A31":"analysis.fatTolerance","B31":"Tolerância gordura","C31":0.15,"D31":"fração","E31":"Faixa aceita em torno da meta de gordura.","A32":"analysis.waistNoiseCm","B32":"Ruído da cintura","C32":0.5,"D32":"cm","E32":"Variações menores são tratadas como estáveis.","A33":"analysis.weightNoisePctPerWeek","B33":"Ruído do peso","C33":0.25,"D33":"%/semana","E33":"Variações menores são tratadas como peso estável.","A34":"analysis.sleepMinH","B34":"Sono mínimo","C34":7,"D34":"h","E34":"Média abaixo disso gera sinal de sono baixo.","A35":"analysis.fatigueHigh","B35":"Cansaço alto","C35":4,"D35":"1–5","E35":"Média a partir disso gera sinal de fadiga alta.","A36":"analysis.hungerHigh","B36":"Fome alta","C36":4,"D36":"1–5","E36":"Média a partir disso gera sinal de fome alta.","A37":"analysis.painHigh","B37":"Dor alta","C37":4,"D37":"0–10","E37":"Máximo a partir disso gera sinal de dor alta.","A38":"analysis.reviewEveryDays","B38":"Intervalo de revisão","C38":7,"D38":"dias","E38":"Próxima revisão sugerida após uma decisão.","A39":"analysis.minWeeksForPhaseReview","B39":"Semanas mínimas por fase","C39":8,"D39":"semanas","E39":"Antes disso não se sugere revisar objetivo/fase por sucesso.","B40":"Sistema","A41":"system.schemaVersion","B41":"Versão do esquema","E41":"Gravada pela migração/configuração inicial. Não editar.","A42":"system.timezone","B42":"Fuso horário","E42":"Vazio = fuso do projeto do Apps Script.","A43":"system.otherClientNames","B43":"Outros clientes (auditoria)","C43":"Zoio","D43":"lista","E43":"Nomes de outras pessoas acompanhadas com esta planilha-modelo; a auditoria aponta textos que os mencionem."}</t>
        </is>
      </c>
    </row>
    <row r="14">
      <c r="A14" s="46" t="n">
        <v>46294.5</v>
      </c>
      <c r="B14" t="inlineStr">
        <is>
          <t>mumsz1c090e2</t>
        </is>
      </c>
      <c r="C14" t="inlineStr">
        <is>
          <t>Migrar 3.0 → 4.0</t>
        </is>
      </c>
      <c r="D14" t="inlineStr">
        <is>
          <t>Progressão</t>
        </is>
      </c>
      <c r="F14" t="inlineStr">
        <is>
          <t>Células</t>
        </is>
      </c>
      <c r="G14" t="inlineStr">
        <is>
          <t>{"A3":"","A7":"Compare apenas work sets do mesmo exercício e critério de carga. Atualize pelo menu Projeto.","A9":"Data","B9":"Ficha","C9":"Exercício","D9":"Work 1 kg","E9":"Work 1 reps","F9":"Work 2 kg","G9":"Work 2 reps","H9":"Volume work","I9":"Work sets","J9":"RIR work 1","K9":"RIR work 2","L9":"Sessão","M9":"Estado","N9":"Leitura","A33":"Compare mesmo equipamento, amplitude e RIR. O volume é carga × repetições, não uma medida isolada de progresso.","B5":"","C5":"","D5":"","E5":"","F5":"","G5":"","H5":"","I5":""}</t>
        </is>
      </c>
      <c r="H14" t="inlineStr">
        <is>
          <t>{"A3":"Gerado pelo script a partir do Registro de treino. Só work sets contam.","A7":"","A9":"","B9":"","C9":"","D9":"","E9":"","F9":"","G9":"","H9":"","I9":"","J9":"","K9":"","L9":"","M9":"","N9":"","A33":"","B5":"Grupo","C5":"Sessão","D5":"Última sessão","E5":"Último work","F5":"RIR","G5":"Tendência","H5":"Sugestão","I5":"Ficha"}</t>
        </is>
      </c>
    </row>
    <row r="15">
      <c r="A15" s="46" t="n">
        <v>46294.5</v>
      </c>
      <c r="B15" t="inlineStr">
        <is>
          <t>mumsz1c090e2</t>
        </is>
      </c>
      <c r="C15" t="inlineStr">
        <is>
          <t>Migrar 3.0 → 4.0</t>
        </is>
      </c>
      <c r="D15" t="inlineStr">
        <is>
          <t>Dieta base</t>
        </is>
      </c>
      <c r="F15" t="inlineStr">
        <is>
          <t>Células</t>
        </is>
      </c>
      <c r="G15" t="inlineStr">
        <is>
          <t>{"A3":"Base do chat ajustada nas porções para aproximar 2.400 kcal e a meta proteica. Ver alterações em Revisões."}</t>
        </is>
      </c>
      <c r="H15" t="inlineStr">
        <is>
          <t>{"A3":"Plano alimentar de referência. Os totais são a dieta planejada, não a ingestão realizada."}</t>
        </is>
      </c>
    </row>
    <row r="16">
      <c r="A16" s="46" t="n">
        <v>46294.5</v>
      </c>
      <c r="B16" t="inlineStr">
        <is>
          <t>mumsz1c090e2</t>
        </is>
      </c>
      <c r="C16" t="inlineStr">
        <is>
          <t>Migrar 3.0 → 4.0</t>
        </is>
      </c>
      <c r="D16" t="inlineStr">
        <is>
          <t>Ficha de treino</t>
        </is>
      </c>
      <c r="F16" t="inlineStr">
        <is>
          <t>Células</t>
        </is>
      </c>
      <c r="G16" t="inlineStr">
        <is>
          <t>{"A2":"Projeto Breno — ficha vigente F002","A3":"Aquecimento e feeder ficam separados. Apenas as duas work sets entram no volume e na progressão."}</t>
        </is>
      </c>
      <c r="H16" t="inlineStr">
        <is>
          <t>{"A2":"Ficha vigente","A3":"Mostra a ficha em vigor. Edite como rascunho e use Salvar nova ficha para criar a próxima versão."}</t>
        </is>
      </c>
    </row>
    <row r="17">
      <c r="A17" s="46" t="n">
        <v>46294.5</v>
      </c>
      <c r="B17" t="inlineStr">
        <is>
          <t>mumsz1c090e2</t>
        </is>
      </c>
      <c r="C17" t="inlineStr">
        <is>
          <t>Migrar 3.0 → 4.0</t>
        </is>
      </c>
      <c r="D17" t="inlineStr">
        <is>
          <t>Medidas e fotos</t>
        </is>
      </c>
      <c r="F17" t="inlineStr">
        <is>
          <t>Células</t>
        </is>
      </c>
      <c r="G17" t="inlineStr">
        <is>
          <t>{"A3":"Cintura semanal. Outras medidas e fotos a cada 4 semanas. Mesma luz, distância e postura relaxada; fotos não medem BF com precisão.","K5":""}</t>
        </is>
      </c>
      <c r="H17" t="inlineStr">
        <is>
          <t>{"A3":"Cintura semanal; outras medidas e fotos a cada 4 semanas, mesma luz, distância e postura.","K5":"Objetivo"}</t>
        </is>
      </c>
    </row>
    <row r="18">
      <c r="A18" s="46" t="n">
        <v>46294.5</v>
      </c>
      <c r="B18" t="inlineStr">
        <is>
          <t>mumsz1c090e2</t>
        </is>
      </c>
      <c r="C18" t="inlineStr">
        <is>
          <t>Migrar 3.0 → 4.0</t>
        </is>
      </c>
      <c r="D18" t="inlineStr">
        <is>
          <t>Semanas</t>
        </is>
      </c>
      <c r="F18" t="inlineStr">
        <is>
          <t>Estrutura</t>
        </is>
      </c>
      <c r="H18" t="inlineStr">
        <is>
          <t>{"op":"insertColumns","sheet":"Semanas","after":33,"count":10}</t>
        </is>
      </c>
    </row>
    <row r="19">
      <c r="A19" s="46" t="n">
        <v>46294.5</v>
      </c>
      <c r="B19" t="inlineStr">
        <is>
          <t>mumsz1c090e2</t>
        </is>
      </c>
      <c r="C19" t="inlineStr">
        <is>
          <t>Migrar 3.0 → 4.0</t>
        </is>
      </c>
      <c r="D19" t="inlineStr">
        <is>
          <t>Semanas</t>
        </is>
      </c>
      <c r="F19" t="inlineStr">
        <is>
          <t>Células</t>
        </is>
      </c>
      <c r="G19" t="inlineStr">
        <is>
          <t>{"A3":"","B6":{"$f":"=IF(A6=\"\",\"\",A6+6)"},"C6":{"$f":"=IF(A6=\"\",\"\",COUNTIFS('Diário'!$A:$A,\"&gt;=\"&amp;A6,'Diário'!$A:$A,\"&lt;=\"&amp;B6,'Diário'!$B:$B,\"&gt;0\"))"},"D6":{"$f":"=IF(A6=\"\",\"\",IF(SUMPRODUCT(('Diário'!$A:$A&gt;=A6)*('Diário'!$A:$A&lt;=B6)*ISNUMBER('Diário'!$B:$B))=0,\"\",SUMIFS('Diário'!$B:$B,'Diário'!$A:$A,\"&gt;=\"&amp;A6,'Diário'!$A:$A,\"&lt;=\"&amp;B6)/SUMPRODUCT(('Diário'!$A:$A&gt;=A6)*('Diário'!$A:$A&lt;=B6)*ISNUMBER('Diário'!$B:$B))))"},"E6":{"$f":"=IF(A6=\"\",\"\",IF(OR(NOT(ISNUMBER(D6)),COUNTIFS(Semanas!$A:$A,A6-7,Semanas!$C:$C,\"&gt;0\")=0),\"\",D6-SUMIFS(Semanas!$D:$D,Semanas!$A:$A,A6-7)))"},"F6":{"$f":"=IF(A6=\"\",\"\",IF(SUMPRODUCT(('Diário'!$A:$A&gt;=A6)*('Diário'!$A:$A&lt;=B6)*ISNUMBER('Diário'!$H:$H))=0,\"\",SUMIFS('Diário'!$H:$H,'Diário'!$A:$A,\"&gt;=\"&amp;A6,'Diário'!$A:$A,\"&lt;=\"&amp;B6)/SUMPRODUCT(('Diário'!$A:$A&gt;=A6)*('Diário'!$A:$A&lt;=B6)*ISNUMBER('Diário'!$H:$H))))"},"G6":{"$f":"=IF(A6=\"\",\"\",IF(SUMPRODUCT(('Diário'!$A:$A&gt;=A6)*('Diário'!$A:$A&lt;=B6)*ISNUMBER('Diário'!$V:$V)*('Diário'!$G:$G=\"Sim\")*('Diário'!$AG:$AG=0))=0,\"\",SUMIFS('Diário'!$V:$V,'Diário'!$A:$A,\"&gt;=\"&amp;A6,'Diário'!$A:$A,\"&lt;=\"&amp;B6,'Diário'!$G:$G,\"Sim\",'Diário'!$AG:$AG,0)/SUMPRODUCT(('Diário'!$A:$A&gt;=A6)*('Diário'!$A:$A&lt;=B6)*ISNUMBER('Diário'!$V:$V)*('Diário'!$G:$G=\"Sim\")*('Diário'!$AG:$AG=0))))"},"H6":{"$f":"=IF(A6=\"\",\"\",IF(SUMPRODUCT(('Diário'!$A:$A&gt;=A6)*('Diário'!$A:$A&lt;=B6)*ISNUMBER('Diário'!$W:$W)*('Diário'!$G:$G=\"Sim\")*('Diário'!$AG:$AG=0))=0,\"\",SUMIFS('Diário'!$W:$W,'Diário'!$A:$A,\"&gt;=\"&amp;A6,'Diário'!$A:$A,\"&lt;=\"&amp;B6,'Diário'!$G:$G,\"Sim\",'Diário'!$AG:$AG,0)/SUMPRODUCT(('Diário'!$A:$A&gt;=A6)*('Diário'!$A:$A&lt;=B6)*ISNUMBER('Diário'!$W:$W)*('Diário'!$G:$G=\"Sim\")*('Diário'!$AG:$AG=0))))"},"I6":{"$f":"=IF(A6=\"\",\"\",IF(SUMPRODUCT(('Diário'!$A:$A&gt;=A6)*('Diário'!$A:$A&lt;=B6)*ISNUMBER('Diário'!$Y:$Y)*('Diário'!$G:$G=\"Sim\")*('Diário'!$AG:$AG=0))=0,\"\",SUMIFS('Diário'!$Y:$Y,'Diário'!$A:$A,\"&gt;=\"&amp;A6,'Diário'!$A:$A,\"&lt;=\"&amp;B6,'Diário'!$G:$G,\"Sim\",'Diário'!$AG:$AG,0)/SUMPRODUCT(('Diário'!$A:$A&gt;=A6)*('Diário'!$A:$A&lt;=B6)*ISNUMBER('Diário'!$Y:$Y)*('Diário'!$G:$G=\"Sim\")*('Diário'!$AG:$AG=0))))"},"J6":{"$f":"=IF(A6=\"\",\"\",COUNTIFS('Diário'!$A:$A,\"&gt;=\"&amp;A6,'Diário'!$A:$A,\"&lt;=\"&amp;B6,'Diário'!$G:$G,\"Sim\",'Diário'!$V:$V,\"&gt;=0\",'Diário'!$AG:$AG,0))"},"K6":{"$f":"=IF(A6=\"\",\"\",IF(SUMPRODUCT(('Diário'!$A:$A&gt;=A6)*('Diário'!$A:$A&lt;=B6)*ISNUMBER('Diário'!$AC:$AC))=0,\"\",SUMIFS('Diário'!$AC:$AC,'Diário'!$A:$A,\"&gt;=\"&amp;A6,'Diário'!$A:$A,\"&lt;=\"&amp;B6)/SUMPRODUCT(('Diário'!$A:$A&gt;=A6)*('Diário'!$A:$A&lt;=B6)*ISNUMBER('Diário'!$AC:$AC))))"},"L6":{"$f":"=IF(A6=\"\",\"\",IF(SUMPRODUCT(('Diário'!$A:$A&gt;=A6)*('Diário'!$A:$A&lt;=B6)*ISNUMBER('Diário'!$AD:$AD))=0,\"\",SUMIFS('Diário'!$AD:$AD,'Diário'!$A:$A,\"&gt;=\"&amp;A6,'Diário'!$A:$A,\"&lt;=\"&amp;B6)/SUMPRODUCT(('Diário'!$A:$A&gt;=A6)*('Diário'!$A:$A&lt;=B6)*ISNUMBER('Diário'!$AD:$AD))))"},"M6":{"$f":"=IF(A6=\"\",\"\",SUMIFS('Diário'!$AA:$AA,'Diário'!$A:$A,\"&gt;=\"&amp;A6,'Diário'!$A:$A,\"&lt;=\"&amp;B6))"},"N6":{"$f":"=IF(A6=\"\",\"\",IF(COUNTIFS('Diário'!$A:$A,\"&gt;=\"&amp;A6,'Diário'!$A:$A,\"&lt;=\"&amp;B6)=0,\"\",SUMIFS('Diário'!$Q:$Q,'Diário'!$A:$A,\"&gt;=\"&amp;A6,'Diário'!$A:$A,\"&lt;=\"&amp;B6)/COUNTIFS('Diário'!$A:$A,\"&gt;=\"&amp;A6,'Diário'!$A:$A,\"&lt;=\"&amp;B6)))"},"O6":{"$f":"=IF(A6=\"\",\"\",IF(SUMPRODUCT(('Diário'!$A:$A&gt;=A6)*('Diário'!$A:$A&lt;=B6)*ISNUMBER('Diário'!$D:$D))=0,\"\",SUMIFS('Diário'!$D:$D,'Diário'!$A:$A,\"&gt;=\"&amp;A6,'Diário'!$A:$A,\"&lt;=\"&amp;B6)/SUMPRODUCT(('Diário'!$A:$A&gt;=A6)*('Diário'!$A:$A&lt;=B6)*ISNUMBER('Diário'!$D:$D))))"},"P6":{"$f":"=IF(A6=\"\",\"\",SUMIFS('Diário'!$E:$E,'Diário'!$A:$A,\"&gt;=\"&amp;A6,'Diário'!$A:$A,\"&lt;=\"&amp;B6))"},"Q6":{"$f":"=IF(A6=\"\",\"\",IF(SUMPRODUCT(('Diário'!$A:$A&gt;=A6)*('Diário'!$A:$A&lt;=B6)*ISNUMBER('Diário'!$C:$C))=0,\"\",SUMIFS('Diário'!$C:$C,'Diário'!$A:$A,\"&gt;=\"&amp;A6,'Diário'!$A:$A,\"&lt;=\"&amp;B6)/SUMPRODUCT(('Diário'!$A:$A&gt;=A6)*('Diário'!$A:$A&lt;=B6)*ISNUMBER('Diário'!$C:$C))))"},"R6":{"$f":"=IF(A6=\"\",\"\",COUNTIFS('Diário'!$A:$A,\"&gt;=\"&amp;A6,'Diário'!$A:$A,\"&lt;=\"&amp;B6,'Diário'!$F:$F,\"Sim\"))"},"S6":{"$f":"=IF(A6=\"\",\"\",IF(B6&gt;=TODAY(),\"Semana parcial\",\"Semana encerrada\"))"},"T6":{"$f":"=IFERROR(__xludf.DUMMYFUNCTION(\"IF(A6=\"\"\"\",\"\"\"\",IFERROR(COUNTUNIQUE(FILTER('Alimentação'!$A$6:$A1000,'Alimentação'!$A$6:$A1000&gt;=A6,'Alimentação'!$A$6:$A1000&lt;=B6)),0))\"),\"\")"},"U6":{"$f":"=IF(A6=\"\",\"\",SUMIFS('Diário'!$AG$6:$AG1000,'Diário'!$A$6:$A1000,\"&gt;=\"&amp;A6,'Diário'!$A$6:$A1000,\"&lt;=\"&amp;B6))"},"V6":{"$f":"=IF(A6=\"\",\"\",J6&amp;\" dias completos com cálculo / \"&amp;MAX(0,MIN(7,TODAY()-A6+1))&amp;\" dias decorridos\")"},"C5":"Pesagens","D5":"Peso médio","E5":"Variação kg","F5":"Cintura","G5":"kcal média","H5":"Proteína média","I5":"Gordura média","J5":"Dias completos","K5":"Aderência kcal","L5":"Aderência proteína","M5":"Treinos","N5":"Meta treinos","O5":"Passos médios","P5":"Cardio min","Q5":"Sono médio","R5":"Muay Thai","S5":"Situação","T5":"Dias com registro","U5":"Itens sem cálculo","V5":"Cobertura alimentar","W5":"","X5":"","Y5":"","Z5":"","AA5":"","AB5":"","AC5":"","AD5":"","AE5":"","AF5":"","AG5":"","AH5":"","AI5":"","AJ5":"","AK5":"","AL5":"","AM5":"","AN5":"","AO5":"","AP5":"","AQ5":""}</t>
        </is>
      </c>
      <c r="H19" t="inlineStr">
        <is>
          <t>{"A3":"Uma linha por semana (segunda a domingo), gravada como valores com o objetivo, a meta e a ficha daquela semana.","B6":"","C6":"","D6":"","E6":"","F6":"","G6":"","H6":"","I6":"","J6":"","K6":"","L6":"","M6":"","N6":"","O6":"","P6":"","Q6":"","R6":"","S6":"","T6":"","U6":"","V6":"","C5":"Objetivo","D5":"Meta","E5":"Ficha","F5":"Transição na semana","G5":"Pesagens","H5":"Peso médio 7d","I5":"Variação kg","J5":"Variação %/sem","K5":"Cintura","L5":"Variação cintura","M5":"Dias com registro","N5":"Dias completos","O5":"kcal média","P5":"Proteína média","Q5":"Carboidrato médio","R5":"Gordura média","S5":"Fibra média","T5":"Aderência kcal","U5":"Aderência proteína","V5":"Aderência gordura","W5":"Cobertura alimentar","X5":"Itens sem cálculo","Y5":"Treinos","Z5":"Meta treinos","AA5":"Volume work","AB5":"Exercícios com progressão","AC5":"Sono médio","AD5":"Fome média","AE5":"Cansaço médio","AF5":"Dor máx","AG5":"Passos médios","AH5":"Cardio min","AI5":"Atividades","AJ5":"Suficiência de dados","AK5":"Situação","AL5":"Sinais","AM5":"Motivos","AN5":"Recomendação","AO5":"Motivo da recomendação","AP5":"Próxima revisão","AQ5":"Calculado em"}</t>
        </is>
      </c>
    </row>
    <row r="20">
      <c r="A20" s="46" t="n">
        <v>46294.5</v>
      </c>
      <c r="B20" t="inlineStr">
        <is>
          <t>mumsz1c090e2</t>
        </is>
      </c>
      <c r="C20" t="inlineStr">
        <is>
          <t>Migrar 3.0 → 4.0</t>
        </is>
      </c>
      <c r="D20" t="inlineStr">
        <is>
          <t>Alimentação</t>
        </is>
      </c>
      <c r="F20" t="inlineStr">
        <is>
          <t>Células</t>
        </is>
      </c>
      <c r="G20" t="inlineStr">
        <is>
          <t>{"A3":"Consumo confirmado por você. Quantidades na unidade-base; conversão original nas observações. Sem cálculo = macros desconhecidos, nunca zero.","P5":"","Q5":""}</t>
        </is>
      </c>
      <c r="H20" t="inlineStr">
        <is>
          <t>{"A3":"Consumo confirmado. Quantidades na unidade-base. Sem cálculo = macros desconhecidos, nunca zero.","P5":"Fonte","Q5":"Cálculo"}</t>
        </is>
      </c>
    </row>
    <row r="21">
      <c r="A21" s="46" t="n">
        <v>46294.5</v>
      </c>
      <c r="B21" t="inlineStr">
        <is>
          <t>mumsz1c090e2</t>
        </is>
      </c>
      <c r="C21" t="inlineStr">
        <is>
          <t>Migrar 3.0 → 4.0</t>
        </is>
      </c>
      <c r="D21" t="inlineStr">
        <is>
          <t>Registro de treino</t>
        </is>
      </c>
      <c r="F21" t="inlineStr">
        <is>
          <t>Estrutura</t>
        </is>
      </c>
      <c r="H21" t="inlineStr">
        <is>
          <t>{"op":"insertColumns","sheet":"Registro de treino","after":26,"count":1}</t>
        </is>
      </c>
    </row>
    <row r="22">
      <c r="A22" s="46" t="n">
        <v>46294.5</v>
      </c>
      <c r="B22" t="inlineStr">
        <is>
          <t>mumsz1c090e2</t>
        </is>
      </c>
      <c r="C22" t="inlineStr">
        <is>
          <t>Migrar 3.0 → 4.0</t>
        </is>
      </c>
      <c r="D22" t="inlineStr">
        <is>
          <t>Registro de treino</t>
        </is>
      </c>
      <c r="F22" t="inlineStr">
        <is>
          <t>Células</t>
        </is>
      </c>
      <c r="G22" t="inlineStr">
        <is>
          <t>{"A3":"Histórico: aquecimento e feeder preservados; volume calculado somente com Work 1 + Work 2. Salvar parcial permite retomar.","AA5":""}</t>
        </is>
      </c>
      <c r="H22" t="inlineStr">
        <is>
          <t>{"A3":"Aquecimento e feeder preservados; volume e progressão só com Work 1 + Work 2. Salvar parcial permite retomar.","AA5":"Objetivo"}</t>
        </is>
      </c>
    </row>
    <row r="23">
      <c r="A23" s="46" t="n">
        <v>46294.5</v>
      </c>
      <c r="B23" t="inlineStr">
        <is>
          <t>mumsz1c090e2</t>
        </is>
      </c>
      <c r="C23" t="inlineStr">
        <is>
          <t>Migrar 3.0 → 4.0</t>
        </is>
      </c>
      <c r="D23" t="inlineStr">
        <is>
          <t>Diário</t>
        </is>
      </c>
      <c r="F23" t="inlineStr">
        <is>
          <t>Células</t>
        </is>
      </c>
      <c r="G23" t="inlineStr">
        <is>
          <t>{"A2":"Resumo diário e metas preservadas","A3":"","V6":{"$f":"=IF(A6=\"\",\"\",IF(COUNTIFS('Alimentação'!$A$6:$A1000,A6,'Alimentação'!$F$6:$F1000,\"&gt;=0\")=0,\"\",SUMIFS('Alimentação'!$F$6:$F1000,'Alimentação'!$A$6:$A1000,A6)))"},"W6":{"$f":"=IF(ISNUMBER(V6),SUMIFS('Alimentação'!$G:$G,'Alimentação'!$A:$A,A6),\"\")"},"X6":{"$f":"=IF(ISNUMBER(V6),SUMIFS('Alimentação'!$H:$H,'Alimentação'!$A:$A,A6),\"\")"},"Y6":{"$f":"=IF(ISNUMBER(V6),SUMIFS('Alimentação'!$I:$I,'Alimentação'!$A:$A,A6),\"\")"},"Z6":{"$f":"=IF(ISNUMBER(V6),SUMIFS('Alimentação'!$J:$J,'Alimentação'!$A:$A,A6),\"\")"},"AA6":{"$f":"=IFERROR(__xludf.DUMMYFUNCTION(\"IF(A6=\"\"\"\",\"\"\"\",IFERROR(COUNTUNIQUE(FILTER('Registro de treino'!$W$6:$W1000,'Registro de treino'!$A$6:$A1000=A6,'Registro de treino'!$Y$6:$Y1000=\"\"Concluído\"\")),0))\"),\"\")"},"AB6":{"$f":"=IF(OR(A6=\"\",AF6=0),\"\",SUMIFS('Diário'!$B:$B,'Diário'!$A:$A,\"&gt;=\"&amp;A6-6,'Diário'!$A:$A,\"&lt;=\"&amp;A6)/AF6)"},"AC6":{"$f":"=IF(AND(G6=\"Sim\",AG6=0,ISNUMBER(V6),ISNUMBER(M6),M6&gt;0),IF(ABS(V6/M6-1)&lt;=T6,1,0),\"\")"},"AD6":{"$f":"=IF(AND(G6=\"Sim\",AG6=0,ISNUMBER(W6),ISNUMBER(R6),ISNUMBER(S6)),IF(AND(W6&gt;=R6,W6&lt;=S6),1,0),\"\")"},"AE6":{"$f":"=IF(AND(G6=\"Sim\",AG6=0,ISNUMBER(Y6),ISNUMBER(O6),O6&gt;0),IF(ABS(Y6/O6-1)&lt;=U6,1,0),\"\")"},"AF6":{"$f":"=IF(A6=\"\",\"\",COUNTIFS('Diário'!$A:$A,\"&gt;=\"&amp;A6-6,'Diário'!$A:$A,\"&lt;=\"&amp;A6,'Diário'!$B:$B,\"&gt;0\"))"},"AG6":{"$f":"=IF(A6=\"\",\"\",COUNTIFS('Alimentação'!$A$6:$A1000,A6,'Alimentação'!$M$6:$M1000,\"Sem cálculo\"))"},"C5":"Sono h","D5":"Passos","E5":"Cardio min","F5":"Muay Thai","G5":"Registro alimentar completo","H5":"Cintura cm","K5":"Observações","L5":"Meta versão","M5":"Meta kcal","N5":"Meta proteína","O5":"Meta gordura","P5":"Meta carbo","Q5":"Treinos meta","R5":"P mín","S5":"P máx","T5":"Tol kcal","U5":"Tol gordura","V5":"kcal","W5":"Proteína g","X5":"Carboidrato g","Y5":"Gordura g","Z5":"Fibra g","AA5":"Treinos","AB5":"Média peso 7d","AC5":"Aderência kcal","AD5":"Aderência proteína","AE5":"Aderência gordura","AF5":"Dias peso 7d","AG5":"Itens sem cálculo"}</t>
        </is>
      </c>
      <c r="H23" t="inlineStr">
        <is>
          <t>{"A2":"Resumo diário","A3":"Uma linha por dia. Vazio = não informado; zero só quando digitado. Totais escritos pelo script.","V6":"","W6":"","X6":"","Y6":"","Z6":"","AA6":"","AB6":"","AC6":"","AD6":"","AE6":"","AF6":"","AG6":"","C5":"Cintura cm","D5":"Sono h","E5":"Passos","F5":"Cardio min","G5":"Atividade min","H5":"Atividade","K5":"Dor 0–10","L5":"Registro alimentar","M5":"Observações","N5":"Objetivo","O5":"Meta","P5":"Ficha","Q5":"kcal","R5":"Proteína g","S5":"Carboidrato g","T5":"Gordura g","U5":"Fibra g","V5":"Itens sem cálculo","W5":"Itens estimados","X5":"Treinos","Y5":"Estado do dia","Z5":"","AA5":"","AB5":"","AC5":"","AD5":"","AE5":"","AF5":"","AG5":""}</t>
        </is>
      </c>
    </row>
    <row r="24">
      <c r="A24" s="46" t="n">
        <v>46294.5</v>
      </c>
      <c r="B24" t="inlineStr">
        <is>
          <t>mumsz1c090e2</t>
        </is>
      </c>
      <c r="C24" t="inlineStr">
        <is>
          <t>Migrar 3.0 → 4.0</t>
        </is>
      </c>
      <c r="D24" t="inlineStr">
        <is>
          <t>Revisões</t>
        </is>
      </c>
      <c r="F24" t="inlineStr">
        <is>
          <t>Células</t>
        </is>
      </c>
      <c r="G24" t="inlineStr">
        <is>
          <t>{"A3":"Registrar mudanças antes de atualizar a ficha ou metas. A planilha não aumenta carga ou muda calorias automaticamente.","D5":"Alteração proposta","H5":"Resultado após mudança","I5":"","J5":"","K5":"","L5":""}</t>
        </is>
      </c>
      <c r="H24" t="inlineStr">
        <is>
          <t>{"A3":"Toda mudança de objetivo, meta ou ficha fica registrada aqui. A planilha não muda metas sozinha.","D5":"Alteração","H5":"Resultado","I5":"Objetivo","J5":"Meta","K5":"Ficha","L5":"Recomendação"}</t>
        </is>
      </c>
    </row>
    <row r="25">
      <c r="A25" s="46" t="n">
        <v>46294.5</v>
      </c>
      <c r="B25" t="inlineStr">
        <is>
          <t>mumsz1c090e2</t>
        </is>
      </c>
      <c r="C25" t="inlineStr">
        <is>
          <t>Migrar 3.0 → 4.0</t>
        </is>
      </c>
      <c r="D25" t="inlineStr">
        <is>
          <t>Revisões</t>
        </is>
      </c>
      <c r="F25" t="inlineStr">
        <is>
          <t>Células</t>
        </is>
      </c>
      <c r="G25" t="inlineStr">
        <is>
          <t>{"A6":{"$d":"2026-09-15T15:00:00.000Z"},"A7":{"$d":"2026-09-15T15:00:00.000Z"},"A10":"28/09/2026"}</t>
        </is>
      </c>
      <c r="H25" t="inlineStr">
        <is>
          <t>{"A6":{"$d":"2026-09-15T03:00:00.000Z"},"A7":{"$d":"2026-09-15T03:00:00.000Z"},"A10":{"$d":"2026-09-28T03:00:00.000Z"}}</t>
        </is>
      </c>
    </row>
    <row r="26">
      <c r="A26" s="46" t="n">
        <v>46294.5</v>
      </c>
      <c r="B26" t="inlineStr">
        <is>
          <t>mumsz1c090e2</t>
        </is>
      </c>
      <c r="C26" t="inlineStr">
        <is>
          <t>Migrar 3.0 → 4.0</t>
        </is>
      </c>
      <c r="D26" t="inlineStr">
        <is>
          <t>Metas</t>
        </is>
      </c>
      <c r="F26" t="inlineStr">
        <is>
          <t>Células</t>
        </is>
      </c>
      <c r="G26" t="inlineStr">
        <is>
          <t>{"A3":"Após iniciar registros, use Nova meta na tela Hoje. Metas usadas ficam gravadas no dia.","B5":"Versão","A5":"Vigência","G5":"Treinos semana","M5":"","N5":"","O5":"","P5":"","Q5":"","R5":"","S5":"","T5":"","U5":"","V5":"","W5":"","X5":""}</t>
        </is>
      </c>
      <c r="H26" t="inlineStr">
        <is>
          <t>{"A3":"Uma linha por versão da meta. Carboidrato, TMB e gasto estimado ficam gravados com a meta.","B5":"ID","A5":"Início","G5":"Treinos/sem","M5":"Objetivo","N5":"Fim","O5":"Status","P5":"Fibra g","Q5":"Cardio/sem","R5":"Atividades/sem","S5":"Passos/dia","T5":"TMB kcal","U5":"Método TMB","V5":"Fator de atividade","W5":"Gasto estimado kcal","X5":"Revisor"}</t>
        </is>
      </c>
    </row>
    <row r="27">
      <c r="A27" s="46" t="n">
        <v>46294.5</v>
      </c>
      <c r="B27" t="inlineStr">
        <is>
          <t>mumsz1c090e2</t>
        </is>
      </c>
      <c r="C27" t="inlineStr">
        <is>
          <t>Migrar 3.0 → 4.0</t>
        </is>
      </c>
      <c r="D27" t="inlineStr">
        <is>
          <t>Fichas</t>
        </is>
      </c>
      <c r="F27" t="inlineStr">
        <is>
          <t>Células</t>
        </is>
      </c>
      <c r="G27" t="inlineStr">
        <is>
          <t>{"A3":"Edite a proposta em Ficha de treino. Salvar nova ficha arquiva outra versão sem apagar esta.","P5":"","Q5":"","R5":""}</t>
        </is>
      </c>
      <c r="H27" t="inlineStr">
        <is>
          <t>{"A3":"Uma linha por exercício de cada versão. A versão vigente aparece em Ficha de treino.","P5":"Início","Q5":"Fim","R5":"Status"}</t>
        </is>
      </c>
    </row>
    <row r="28">
      <c r="A28" s="46" t="n">
        <v>46294.5</v>
      </c>
      <c r="B28" t="inlineStr">
        <is>
          <t>mumsz1c090e2</t>
        </is>
      </c>
      <c r="C28" t="inlineStr">
        <is>
          <t>Migrar 3.0 → 4.0</t>
        </is>
      </c>
      <c r="D28" t="inlineStr">
        <is>
          <t>Alimentos</t>
        </is>
      </c>
      <c r="F28" t="inlineStr">
        <is>
          <t>Células</t>
        </is>
      </c>
      <c r="G28" t="inlineStr">
        <is>
          <t>{"A3":"B e C definem a unidade e a porção-base dos nutrientes. M/N: medida caseira opcional. O: qualidade da referência. Não converter ml em g sem densidade."}</t>
        </is>
      </c>
      <c r="H28" t="inlineStr">
        <is>
          <t>{"A3":"Unidade-base e porção-base definem os nutrientes. Medida caseira é opcional. Não converter ml em g sem densidade."}</t>
        </is>
      </c>
    </row>
    <row r="29">
      <c r="A29" s="46" t="n">
        <v>46294.5</v>
      </c>
      <c r="B29" t="inlineStr">
        <is>
          <t>mumsz1c090e2</t>
        </is>
      </c>
      <c r="C29" t="inlineStr">
        <is>
          <t>Migrar 3.0 → 4.0</t>
        </is>
      </c>
      <c r="D29" t="inlineStr">
        <is>
          <t>Favoritas</t>
        </is>
      </c>
      <c r="F29" t="inlineStr">
        <is>
          <t>Células</t>
        </is>
      </c>
      <c r="G29" t="inlineStr">
        <is>
          <t>{"A3":"Cadastro pessoal vazio. Use Projeto → Favoritar refeição da data após registrar uma refeição sua."}</t>
        </is>
      </c>
      <c r="H29" t="inlineStr">
        <is>
          <t>{"A3":"Use Criar favorita da refeição depois de registrar uma refeição."}</t>
        </is>
      </c>
    </row>
    <row r="30">
      <c r="A30" s="46" t="n">
        <v>46294.5</v>
      </c>
      <c r="B30" t="inlineStr">
        <is>
          <t>mumsz1c090e2</t>
        </is>
      </c>
      <c r="C30" t="inlineStr">
        <is>
          <t>Migrar 3.0 → 4.0</t>
        </is>
      </c>
      <c r="D30" t="inlineStr">
        <is>
          <t>Ingredientes</t>
        </is>
      </c>
      <c r="F30" t="inlineStr">
        <is>
          <t>Células</t>
        </is>
      </c>
      <c r="G30" t="inlineStr">
        <is>
          <t>{"A3":"Ingredientes das suas favoritas. Quantidade sempre na unidade-base do alimento."}</t>
        </is>
      </c>
      <c r="H30" t="inlineStr">
        <is>
          <t>{"A3":"Quantidade sempre na unidade-base do alimento."}</t>
        </is>
      </c>
    </row>
    <row r="31">
      <c r="A31" s="46" t="n">
        <v>46294.5</v>
      </c>
      <c r="B31" t="inlineStr">
        <is>
          <t>mumsz1c090e2</t>
        </is>
      </c>
      <c r="C31" t="inlineStr">
        <is>
          <t>Migrar 3.0 → 4.0</t>
        </is>
      </c>
      <c r="D31" t="inlineStr">
        <is>
          <t>Equivalências</t>
        </is>
      </c>
      <c r="F31" t="inlineStr">
        <is>
          <t>Células</t>
        </is>
      </c>
      <c r="G31" t="inlineStr">
        <is>
          <t>{"A3":"Trocas igualam um nutriente, não todos os macros. Quantidades calculadas são aproximações; confira o total da dieta."}</t>
        </is>
      </c>
      <c r="H31" t="inlineStr">
        <is>
          <t>{"A3":"Trocas igualam um nutriente, não todos os macros. Confira o total da dieta."}</t>
        </is>
      </c>
    </row>
    <row r="32">
      <c r="A32" s="46" t="n">
        <v>46294.5</v>
      </c>
      <c r="B32" t="inlineStr">
        <is>
          <t>mumsz1c090e2</t>
        </is>
      </c>
      <c r="C32" t="inlineStr">
        <is>
          <t>Migrar 3.0 → 4.0</t>
        </is>
      </c>
      <c r="D32" t="inlineStr">
        <is>
          <t>Exercícios</t>
        </is>
      </c>
      <c r="F32" t="inlineStr">
        <is>
          <t>Células</t>
        </is>
      </c>
      <c r="G32" t="inlineStr">
        <is>
          <t>{"A2":"Cadastro expansível de exercícios","A3":""}</t>
        </is>
      </c>
      <c r="H32" t="inlineStr">
        <is>
          <t>{"A2":"Cadastro de exercícios","A3":"Um exercício por linha. Mantenha sempre o mesmo critério de carga."}</t>
        </is>
      </c>
    </row>
    <row r="33">
      <c r="A33" s="46" t="n">
        <v>46294.5</v>
      </c>
      <c r="B33" t="inlineStr">
        <is>
          <t>mumsz1c090e2</t>
        </is>
      </c>
      <c r="C33" t="inlineStr">
        <is>
          <t>Migrar 3.0 → 4.0</t>
        </is>
      </c>
      <c r="D33" t="inlineStr">
        <is>
          <t>Guia</t>
        </is>
      </c>
      <c r="F33" t="inlineStr">
        <is>
          <t>Células</t>
        </is>
      </c>
      <c r="G33" t="inlineStr">
        <is>
          <t>{"A3":"Versão 3.0 — Google Sheets. Registro pessoal, estimativas explícitas e foco nas séries de trabalho."}</t>
        </is>
      </c>
      <c r="H33" t="inlineStr">
        <is>
          <t>{"A3":"Orientações gerais. Nomes, rotinas e metas vêm da Config e das abas de histórico."}</t>
        </is>
      </c>
    </row>
    <row r="34">
      <c r="A34" s="46" t="n">
        <v>46294.5</v>
      </c>
      <c r="B34" t="inlineStr">
        <is>
          <t>mumsz1c090e2</t>
        </is>
      </c>
      <c r="C34" t="inlineStr">
        <is>
          <t>Migrar 3.0 → 4.0</t>
        </is>
      </c>
      <c r="D34" t="inlineStr">
        <is>
          <t>Fichas</t>
        </is>
      </c>
      <c r="E34" t="n">
        <v>6</v>
      </c>
      <c r="F34" t="inlineStr">
        <is>
          <t>Alteração</t>
        </is>
      </c>
      <c r="G34" t="inlineStr">
        <is>
          <t>{"Vigência":{"$d":"1900-01-01T03:06:28.000Z"},"Início":"","Fim":"","Status":""}</t>
        </is>
      </c>
      <c r="H34" t="inlineStr">
        <is>
          <t>{"Vigência":{"$d":"2026-09-15T03:00:00.000Z"},"Início":{"$d":"2026-09-15T03:00:00.000Z"},"Fim":{"$d":"2026-09-27T03:00:00.000Z"},"Status":"Encerrada"}</t>
        </is>
      </c>
    </row>
    <row r="35">
      <c r="A35" s="46" t="n">
        <v>46294.5</v>
      </c>
      <c r="B35" t="inlineStr">
        <is>
          <t>mumsz1c090e2</t>
        </is>
      </c>
      <c r="C35" t="inlineStr">
        <is>
          <t>Migrar 3.0 → 4.0</t>
        </is>
      </c>
      <c r="D35" t="inlineStr">
        <is>
          <t>Fichas</t>
        </is>
      </c>
      <c r="E35" t="n">
        <v>7</v>
      </c>
      <c r="F35" t="inlineStr">
        <is>
          <t>Alteração</t>
        </is>
      </c>
      <c r="G35" t="inlineStr">
        <is>
          <t>{"Vigência":{"$d":"1900-01-01T03:06:28.000Z"},"Início":"","Fim":"","Status":""}</t>
        </is>
      </c>
      <c r="H35" t="inlineStr">
        <is>
          <t>{"Vigência":{"$d":"2026-09-15T03:00:00.000Z"},"Início":{"$d":"2026-09-15T03:00:00.000Z"},"Fim":{"$d":"2026-09-27T03:00:00.000Z"},"Status":"Encerrada"}</t>
        </is>
      </c>
    </row>
    <row r="36">
      <c r="A36" s="46" t="n">
        <v>46294.5</v>
      </c>
      <c r="B36" t="inlineStr">
        <is>
          <t>mumsz1c090e2</t>
        </is>
      </c>
      <c r="C36" t="inlineStr">
        <is>
          <t>Migrar 3.0 → 4.0</t>
        </is>
      </c>
      <c r="D36" t="inlineStr">
        <is>
          <t>Fichas</t>
        </is>
      </c>
      <c r="E36" t="n">
        <v>8</v>
      </c>
      <c r="F36" t="inlineStr">
        <is>
          <t>Alteração</t>
        </is>
      </c>
      <c r="G36" t="inlineStr">
        <is>
          <t>{"Vigência":{"$d":"1900-01-01T03:06:28.000Z"},"Início":"","Fim":"","Status":""}</t>
        </is>
      </c>
      <c r="H36" t="inlineStr">
        <is>
          <t>{"Vigência":{"$d":"2026-09-15T03:00:00.000Z"},"Início":{"$d":"2026-09-15T03:00:00.000Z"},"Fim":{"$d":"2026-09-27T03:00:00.000Z"},"Status":"Encerrada"}</t>
        </is>
      </c>
    </row>
    <row r="37">
      <c r="A37" s="46" t="n">
        <v>46294.5</v>
      </c>
      <c r="B37" t="inlineStr">
        <is>
          <t>mumsz1c090e2</t>
        </is>
      </c>
      <c r="C37" t="inlineStr">
        <is>
          <t>Migrar 3.0 → 4.0</t>
        </is>
      </c>
      <c r="D37" t="inlineStr">
        <is>
          <t>Fichas</t>
        </is>
      </c>
      <c r="E37" t="n">
        <v>9</v>
      </c>
      <c r="F37" t="inlineStr">
        <is>
          <t>Alteração</t>
        </is>
      </c>
      <c r="G37" t="inlineStr">
        <is>
          <t>{"Vigência":{"$d":"1900-01-01T03:06:28.000Z"},"Início":"","Fim":"","Status":""}</t>
        </is>
      </c>
      <c r="H37" t="inlineStr">
        <is>
          <t>{"Vigência":{"$d":"2026-09-15T03:00:00.000Z"},"Início":{"$d":"2026-09-15T03:00:00.000Z"},"Fim":{"$d":"2026-09-27T03:00:00.000Z"},"Status":"Encerrada"}</t>
        </is>
      </c>
    </row>
    <row r="38">
      <c r="A38" s="46" t="n">
        <v>46294.5</v>
      </c>
      <c r="B38" t="inlineStr">
        <is>
          <t>mumsz1c090e2</t>
        </is>
      </c>
      <c r="C38" t="inlineStr">
        <is>
          <t>Migrar 3.0 → 4.0</t>
        </is>
      </c>
      <c r="D38" t="inlineStr">
        <is>
          <t>Fichas</t>
        </is>
      </c>
      <c r="E38" t="n">
        <v>10</v>
      </c>
      <c r="F38" t="inlineStr">
        <is>
          <t>Alteração</t>
        </is>
      </c>
      <c r="G38" t="inlineStr">
        <is>
          <t>{"Vigência":{"$d":"1900-01-01T03:06:28.000Z"},"Início":"","Fim":"","Status":""}</t>
        </is>
      </c>
      <c r="H38" t="inlineStr">
        <is>
          <t>{"Vigência":{"$d":"2026-09-15T03:00:00.000Z"},"Início":{"$d":"2026-09-15T03:00:00.000Z"},"Fim":{"$d":"2026-09-27T03:00:00.000Z"},"Status":"Encerrada"}</t>
        </is>
      </c>
    </row>
    <row r="39">
      <c r="A39" s="46" t="n">
        <v>46294.5</v>
      </c>
      <c r="B39" t="inlineStr">
        <is>
          <t>mumsz1c090e2</t>
        </is>
      </c>
      <c r="C39" t="inlineStr">
        <is>
          <t>Migrar 3.0 → 4.0</t>
        </is>
      </c>
      <c r="D39" t="inlineStr">
        <is>
          <t>Fichas</t>
        </is>
      </c>
      <c r="E39" t="n">
        <v>11</v>
      </c>
      <c r="F39" t="inlineStr">
        <is>
          <t>Alteração</t>
        </is>
      </c>
      <c r="G39" t="inlineStr">
        <is>
          <t>{"Vigência":{"$d":"1900-01-01T03:06:28.000Z"},"Início":"","Fim":"","Status":""}</t>
        </is>
      </c>
      <c r="H39" t="inlineStr">
        <is>
          <t>{"Vigência":{"$d":"2026-09-15T03:00:00.000Z"},"Início":{"$d":"2026-09-15T03:00:00.000Z"},"Fim":{"$d":"2026-09-27T03:00:00.000Z"},"Status":"Encerrada"}</t>
        </is>
      </c>
    </row>
    <row r="40">
      <c r="A40" s="46" t="n">
        <v>46294.5</v>
      </c>
      <c r="B40" t="inlineStr">
        <is>
          <t>mumsz1c090e2</t>
        </is>
      </c>
      <c r="C40" t="inlineStr">
        <is>
          <t>Migrar 3.0 → 4.0</t>
        </is>
      </c>
      <c r="D40" t="inlineStr">
        <is>
          <t>Fichas</t>
        </is>
      </c>
      <c r="E40" t="n">
        <v>12</v>
      </c>
      <c r="F40" t="inlineStr">
        <is>
          <t>Alteração</t>
        </is>
      </c>
      <c r="G40" t="inlineStr">
        <is>
          <t>{"Vigência":{"$d":"1900-01-01T03:06:28.000Z"},"Início":"","Fim":"","Status":""}</t>
        </is>
      </c>
      <c r="H40" t="inlineStr">
        <is>
          <t>{"Vigência":{"$d":"2026-09-15T03:00:00.000Z"},"Início":{"$d":"2026-09-15T03:00:00.000Z"},"Fim":{"$d":"2026-09-27T03:00:00.000Z"},"Status":"Encerrada"}</t>
        </is>
      </c>
    </row>
    <row r="41">
      <c r="A41" s="46" t="n">
        <v>46294.5</v>
      </c>
      <c r="B41" t="inlineStr">
        <is>
          <t>mumsz1c090e2</t>
        </is>
      </c>
      <c r="C41" t="inlineStr">
        <is>
          <t>Migrar 3.0 → 4.0</t>
        </is>
      </c>
      <c r="D41" t="inlineStr">
        <is>
          <t>Fichas</t>
        </is>
      </c>
      <c r="E41" t="n">
        <v>13</v>
      </c>
      <c r="F41" t="inlineStr">
        <is>
          <t>Alteração</t>
        </is>
      </c>
      <c r="G41" t="inlineStr">
        <is>
          <t>{"Vigência":{"$d":"1900-01-01T03:06:28.000Z"},"Início":"","Fim":"","Status":""}</t>
        </is>
      </c>
      <c r="H41" t="inlineStr">
        <is>
          <t>{"Vigência":{"$d":"2026-09-15T03:00:00.000Z"},"Início":{"$d":"2026-09-15T03:00:00.000Z"},"Fim":{"$d":"2026-09-27T03:00:00.000Z"},"Status":"Encerrada"}</t>
        </is>
      </c>
    </row>
    <row r="42">
      <c r="A42" s="46" t="n">
        <v>46294.5</v>
      </c>
      <c r="B42" t="inlineStr">
        <is>
          <t>mumsz1c090e2</t>
        </is>
      </c>
      <c r="C42" t="inlineStr">
        <is>
          <t>Migrar 3.0 → 4.0</t>
        </is>
      </c>
      <c r="D42" t="inlineStr">
        <is>
          <t>Fichas</t>
        </is>
      </c>
      <c r="E42" t="n">
        <v>14</v>
      </c>
      <c r="F42" t="inlineStr">
        <is>
          <t>Alteração</t>
        </is>
      </c>
      <c r="G42" t="inlineStr">
        <is>
          <t>{"Vigência":{"$d":"1900-01-01T03:06:28.000Z"},"Início":"","Fim":"","Status":""}</t>
        </is>
      </c>
      <c r="H42" t="inlineStr">
        <is>
          <t>{"Vigência":{"$d":"2026-09-15T03:00:00.000Z"},"Início":{"$d":"2026-09-15T03:00:00.000Z"},"Fim":{"$d":"2026-09-27T03:00:00.000Z"},"Status":"Encerrada"}</t>
        </is>
      </c>
    </row>
    <row r="43">
      <c r="A43" s="46" t="n">
        <v>46294.5</v>
      </c>
      <c r="B43" t="inlineStr">
        <is>
          <t>mumsz1c090e2</t>
        </is>
      </c>
      <c r="C43" t="inlineStr">
        <is>
          <t>Migrar 3.0 → 4.0</t>
        </is>
      </c>
      <c r="D43" t="inlineStr">
        <is>
          <t>Fichas</t>
        </is>
      </c>
      <c r="E43" t="n">
        <v>15</v>
      </c>
      <c r="F43" t="inlineStr">
        <is>
          <t>Alteração</t>
        </is>
      </c>
      <c r="G43" t="inlineStr">
        <is>
          <t>{"Vigência":{"$d":"1900-01-01T03:06:28.000Z"},"Início":"","Fim":"","Status":""}</t>
        </is>
      </c>
      <c r="H43" t="inlineStr">
        <is>
          <t>{"Vigência":{"$d":"2026-09-15T03:00:00.000Z"},"Início":{"$d":"2026-09-15T03:00:00.000Z"},"Fim":{"$d":"2026-09-27T03:00:00.000Z"},"Status":"Encerrada"}</t>
        </is>
      </c>
    </row>
    <row r="44">
      <c r="A44" s="46" t="n">
        <v>46294.5</v>
      </c>
      <c r="B44" t="inlineStr">
        <is>
          <t>mumsz1c090e2</t>
        </is>
      </c>
      <c r="C44" t="inlineStr">
        <is>
          <t>Migrar 3.0 → 4.0</t>
        </is>
      </c>
      <c r="D44" t="inlineStr">
        <is>
          <t>Fichas</t>
        </is>
      </c>
      <c r="E44" t="n">
        <v>16</v>
      </c>
      <c r="F44" t="inlineStr">
        <is>
          <t>Alteração</t>
        </is>
      </c>
      <c r="G44" t="inlineStr">
        <is>
          <t>{"Vigência":{"$d":"1900-01-01T03:06:28.000Z"},"Início":"","Fim":"","Status":""}</t>
        </is>
      </c>
      <c r="H44" t="inlineStr">
        <is>
          <t>{"Vigência":{"$d":"2026-09-15T03:00:00.000Z"},"Início":{"$d":"2026-09-15T03:00:00.000Z"},"Fim":{"$d":"2026-09-27T03:00:00.000Z"},"Status":"Encerrada"}</t>
        </is>
      </c>
    </row>
    <row r="45">
      <c r="A45" s="46" t="n">
        <v>46294.5</v>
      </c>
      <c r="B45" t="inlineStr">
        <is>
          <t>mumsz1c090e2</t>
        </is>
      </c>
      <c r="C45" t="inlineStr">
        <is>
          <t>Migrar 3.0 → 4.0</t>
        </is>
      </c>
      <c r="D45" t="inlineStr">
        <is>
          <t>Fichas</t>
        </is>
      </c>
      <c r="E45" t="n">
        <v>17</v>
      </c>
      <c r="F45" t="inlineStr">
        <is>
          <t>Alteração</t>
        </is>
      </c>
      <c r="G45" t="inlineStr">
        <is>
          <t>{"Vigência":{"$d":"1900-01-01T03:06:28.000Z"},"Início":"","Fim":"","Status":""}</t>
        </is>
      </c>
      <c r="H45" t="inlineStr">
        <is>
          <t>{"Vigência":{"$d":"2026-09-15T03:00:00.000Z"},"Início":{"$d":"2026-09-15T03:00:00.000Z"},"Fim":{"$d":"2026-09-27T03:00:00.000Z"},"Status":"Encerrada"}</t>
        </is>
      </c>
    </row>
    <row r="46">
      <c r="A46" s="46" t="n">
        <v>46294.5</v>
      </c>
      <c r="B46" t="inlineStr">
        <is>
          <t>mumsz1c090e2</t>
        </is>
      </c>
      <c r="C46" t="inlineStr">
        <is>
          <t>Migrar 3.0 → 4.0</t>
        </is>
      </c>
      <c r="D46" t="inlineStr">
        <is>
          <t>Fichas</t>
        </is>
      </c>
      <c r="E46" t="n">
        <v>18</v>
      </c>
      <c r="F46" t="inlineStr">
        <is>
          <t>Alteração</t>
        </is>
      </c>
      <c r="G46" t="inlineStr">
        <is>
          <t>{"Vigência":{"$d":"1900-01-01T03:06:28.000Z"},"Início":"","Fim":"","Status":""}</t>
        </is>
      </c>
      <c r="H46" t="inlineStr">
        <is>
          <t>{"Vigência":{"$d":"2026-09-15T03:00:00.000Z"},"Início":{"$d":"2026-09-15T03:00:00.000Z"},"Fim":{"$d":"2026-09-27T03:00:00.000Z"},"Status":"Encerrada"}</t>
        </is>
      </c>
    </row>
    <row r="47">
      <c r="A47" s="46" t="n">
        <v>46294.5</v>
      </c>
      <c r="B47" t="inlineStr">
        <is>
          <t>mumsz1c090e2</t>
        </is>
      </c>
      <c r="C47" t="inlineStr">
        <is>
          <t>Migrar 3.0 → 4.0</t>
        </is>
      </c>
      <c r="D47" t="inlineStr">
        <is>
          <t>Fichas</t>
        </is>
      </c>
      <c r="E47" t="n">
        <v>19</v>
      </c>
      <c r="F47" t="inlineStr">
        <is>
          <t>Alteração</t>
        </is>
      </c>
      <c r="G47" t="inlineStr">
        <is>
          <t>{"Vigência":{"$d":"1900-01-01T03:06:28.000Z"},"Início":"","Fim":"","Status":""}</t>
        </is>
      </c>
      <c r="H47" t="inlineStr">
        <is>
          <t>{"Vigência":{"$d":"2026-09-15T03:00:00.000Z"},"Início":{"$d":"2026-09-15T03:00:00.000Z"},"Fim":{"$d":"2026-09-27T03:00:00.000Z"},"Status":"Encerrada"}</t>
        </is>
      </c>
    </row>
    <row r="48">
      <c r="A48" s="46" t="n">
        <v>46294.5</v>
      </c>
      <c r="B48" t="inlineStr">
        <is>
          <t>mumsz1c090e2</t>
        </is>
      </c>
      <c r="C48" t="inlineStr">
        <is>
          <t>Migrar 3.0 → 4.0</t>
        </is>
      </c>
      <c r="D48" t="inlineStr">
        <is>
          <t>Fichas</t>
        </is>
      </c>
      <c r="E48" t="n">
        <v>20</v>
      </c>
      <c r="F48" t="inlineStr">
        <is>
          <t>Alteração</t>
        </is>
      </c>
      <c r="G48" t="inlineStr">
        <is>
          <t>{"Vigência":{"$d":"1900-01-01T03:06:28.000Z"},"Início":"","Fim":"","Status":""}</t>
        </is>
      </c>
      <c r="H48" t="inlineStr">
        <is>
          <t>{"Vigência":{"$d":"2026-09-15T03:00:00.000Z"},"Início":{"$d":"2026-09-15T03:00:00.000Z"},"Fim":{"$d":"2026-09-27T03:00:00.000Z"},"Status":"Encerrada"}</t>
        </is>
      </c>
    </row>
    <row r="49">
      <c r="A49" s="46" t="n">
        <v>46294.5</v>
      </c>
      <c r="B49" t="inlineStr">
        <is>
          <t>mumsz1c090e2</t>
        </is>
      </c>
      <c r="C49" t="inlineStr">
        <is>
          <t>Migrar 3.0 → 4.0</t>
        </is>
      </c>
      <c r="D49" t="inlineStr">
        <is>
          <t>Fichas</t>
        </is>
      </c>
      <c r="E49" t="n">
        <v>21</v>
      </c>
      <c r="F49" t="inlineStr">
        <is>
          <t>Alteração</t>
        </is>
      </c>
      <c r="G49" t="inlineStr">
        <is>
          <t>{"Vigência":{"$d":"1900-01-01T03:06:28.000Z"},"Início":"","Fim":"","Status":""}</t>
        </is>
      </c>
      <c r="H49" t="inlineStr">
        <is>
          <t>{"Vigência":{"$d":"2026-09-15T03:00:00.000Z"},"Início":{"$d":"2026-09-15T03:00:00.000Z"},"Fim":{"$d":"2026-09-27T03:00:00.000Z"},"Status":"Encerrada"}</t>
        </is>
      </c>
    </row>
    <row r="50">
      <c r="A50" s="46" t="n">
        <v>46294.5</v>
      </c>
      <c r="B50" t="inlineStr">
        <is>
          <t>mumsz1c090e2</t>
        </is>
      </c>
      <c r="C50" t="inlineStr">
        <is>
          <t>Migrar 3.0 → 4.0</t>
        </is>
      </c>
      <c r="D50" t="inlineStr">
        <is>
          <t>Fichas</t>
        </is>
      </c>
      <c r="E50" t="n">
        <v>22</v>
      </c>
      <c r="F50" t="inlineStr">
        <is>
          <t>Alteração</t>
        </is>
      </c>
      <c r="G50" t="inlineStr">
        <is>
          <t>{"Vigência":{"$d":"1900-01-01T03:06:28.000Z"},"Início":"","Fim":"","Status":""}</t>
        </is>
      </c>
      <c r="H50" t="inlineStr">
        <is>
          <t>{"Vigência":{"$d":"2026-09-15T03:00:00.000Z"},"Início":{"$d":"2026-09-15T03:00:00.000Z"},"Fim":{"$d":"2026-09-27T03:00:00.000Z"},"Status":"Encerrada"}</t>
        </is>
      </c>
    </row>
    <row r="51">
      <c r="A51" s="46" t="n">
        <v>46294.5</v>
      </c>
      <c r="B51" t="inlineStr">
        <is>
          <t>mumsz1c090e2</t>
        </is>
      </c>
      <c r="C51" t="inlineStr">
        <is>
          <t>Migrar 3.0 → 4.0</t>
        </is>
      </c>
      <c r="D51" t="inlineStr">
        <is>
          <t>Fichas</t>
        </is>
      </c>
      <c r="E51" t="n">
        <v>23</v>
      </c>
      <c r="F51" t="inlineStr">
        <is>
          <t>Alteração</t>
        </is>
      </c>
      <c r="G51" t="inlineStr">
        <is>
          <t>{"Vigência":{"$d":"1900-01-01T03:06:28.000Z"},"Início":"","Fim":"","Status":""}</t>
        </is>
      </c>
      <c r="H51" t="inlineStr">
        <is>
          <t>{"Vigência":{"$d":"2026-09-15T03:00:00.000Z"},"Início":{"$d":"2026-09-15T03:00:00.000Z"},"Fim":{"$d":"2026-09-27T03:00:00.000Z"},"Status":"Encerrada"}</t>
        </is>
      </c>
    </row>
    <row r="52">
      <c r="A52" s="46" t="n">
        <v>46294.5</v>
      </c>
      <c r="B52" t="inlineStr">
        <is>
          <t>mumsz1c090e2</t>
        </is>
      </c>
      <c r="C52" t="inlineStr">
        <is>
          <t>Migrar 3.0 → 4.0</t>
        </is>
      </c>
      <c r="D52" t="inlineStr">
        <is>
          <t>Fichas</t>
        </is>
      </c>
      <c r="E52" t="n">
        <v>24</v>
      </c>
      <c r="F52" t="inlineStr">
        <is>
          <t>Alteração</t>
        </is>
      </c>
      <c r="G52" t="inlineStr">
        <is>
          <t>{"Vigência":{"$d":"1900-01-01T03:06:28.000Z"},"Início":"","Fim":"","Status":""}</t>
        </is>
      </c>
      <c r="H52" t="inlineStr">
        <is>
          <t>{"Vigência":{"$d":"2026-09-15T03:00:00.000Z"},"Início":{"$d":"2026-09-15T03:00:00.000Z"},"Fim":{"$d":"2026-09-27T03:00:00.000Z"},"Status":"Encerrada"}</t>
        </is>
      </c>
    </row>
    <row r="53">
      <c r="A53" s="46" t="n">
        <v>46294.5</v>
      </c>
      <c r="B53" t="inlineStr">
        <is>
          <t>mumsz1c090e2</t>
        </is>
      </c>
      <c r="C53" t="inlineStr">
        <is>
          <t>Migrar 3.0 → 4.0</t>
        </is>
      </c>
      <c r="D53" t="inlineStr">
        <is>
          <t>Fichas</t>
        </is>
      </c>
      <c r="E53" t="n">
        <v>25</v>
      </c>
      <c r="F53" t="inlineStr">
        <is>
          <t>Alteração</t>
        </is>
      </c>
      <c r="G53" t="inlineStr">
        <is>
          <t>{"Vigência":{"$d":"1900-01-01T03:06:28.000Z"},"Início":"","Fim":"","Status":""}</t>
        </is>
      </c>
      <c r="H53" t="inlineStr">
        <is>
          <t>{"Vigência":{"$d":"2026-09-15T03:00:00.000Z"},"Início":{"$d":"2026-09-15T03:00:00.000Z"},"Fim":{"$d":"2026-09-27T03:00:00.000Z"},"Status":"Encerrada"}</t>
        </is>
      </c>
    </row>
    <row r="54">
      <c r="A54" s="46" t="n">
        <v>46294.5</v>
      </c>
      <c r="B54" t="inlineStr">
        <is>
          <t>mumsz1c090e2</t>
        </is>
      </c>
      <c r="C54" t="inlineStr">
        <is>
          <t>Migrar 3.0 → 4.0</t>
        </is>
      </c>
      <c r="D54" t="inlineStr">
        <is>
          <t>Fichas</t>
        </is>
      </c>
      <c r="E54" t="n">
        <v>26</v>
      </c>
      <c r="F54" t="inlineStr">
        <is>
          <t>Alteração</t>
        </is>
      </c>
      <c r="G54" t="inlineStr">
        <is>
          <t>{"Vigência":{"$d":"1900-01-01T03:06:28.000Z"},"Início":"","Fim":"","Status":""}</t>
        </is>
      </c>
      <c r="H54" t="inlineStr">
        <is>
          <t>{"Vigência":{"$d":"2026-09-15T03:00:00.000Z"},"Início":{"$d":"2026-09-15T03:00:00.000Z"},"Fim":{"$d":"2026-09-27T03:00:00.000Z"},"Status":"Encerrada"}</t>
        </is>
      </c>
    </row>
    <row r="55">
      <c r="A55" s="46" t="n">
        <v>46294.5</v>
      </c>
      <c r="B55" t="inlineStr">
        <is>
          <t>mumsz1c090e2</t>
        </is>
      </c>
      <c r="C55" t="inlineStr">
        <is>
          <t>Migrar 3.0 → 4.0</t>
        </is>
      </c>
      <c r="D55" t="inlineStr">
        <is>
          <t>Fichas</t>
        </is>
      </c>
      <c r="E55" t="n">
        <v>27</v>
      </c>
      <c r="F55" t="inlineStr">
        <is>
          <t>Alteração</t>
        </is>
      </c>
      <c r="G55" t="inlineStr">
        <is>
          <t>{"Vigência":{"$d":"1900-01-01T03:06:28.000Z"},"Início":"","Fim":"","Status":""}</t>
        </is>
      </c>
      <c r="H55" t="inlineStr">
        <is>
          <t>{"Vigência":{"$d":"2026-09-15T03:00:00.000Z"},"Início":{"$d":"2026-09-15T03:00:00.000Z"},"Fim":{"$d":"2026-09-27T03:00:00.000Z"},"Status":"Encerrada"}</t>
        </is>
      </c>
    </row>
    <row r="56">
      <c r="A56" s="46" t="n">
        <v>46294.5</v>
      </c>
      <c r="B56" t="inlineStr">
        <is>
          <t>mumsz1c090e2</t>
        </is>
      </c>
      <c r="C56" t="inlineStr">
        <is>
          <t>Migrar 3.0 → 4.0</t>
        </is>
      </c>
      <c r="D56" t="inlineStr">
        <is>
          <t>Fichas</t>
        </is>
      </c>
      <c r="E56" t="n">
        <v>28</v>
      </c>
      <c r="F56" t="inlineStr">
        <is>
          <t>Alteração</t>
        </is>
      </c>
      <c r="G56" t="inlineStr">
        <is>
          <t>{"Início":"","Status":""}</t>
        </is>
      </c>
      <c r="H56" t="inlineStr">
        <is>
          <t>{"Início":{"$d":"2026-09-28T03:00:00.000Z"},"Status":"Vigente"}</t>
        </is>
      </c>
    </row>
    <row r="57">
      <c r="A57" s="46" t="n">
        <v>46294.5</v>
      </c>
      <c r="B57" t="inlineStr">
        <is>
          <t>mumsz1c090e2</t>
        </is>
      </c>
      <c r="C57" t="inlineStr">
        <is>
          <t>Migrar 3.0 → 4.0</t>
        </is>
      </c>
      <c r="D57" t="inlineStr">
        <is>
          <t>Fichas</t>
        </is>
      </c>
      <c r="E57" t="n">
        <v>29</v>
      </c>
      <c r="F57" t="inlineStr">
        <is>
          <t>Alteração</t>
        </is>
      </c>
      <c r="G57" t="inlineStr">
        <is>
          <t>{"Início":"","Status":""}</t>
        </is>
      </c>
      <c r="H57" t="inlineStr">
        <is>
          <t>{"Início":{"$d":"2026-09-28T03:00:00.000Z"},"Status":"Vigente"}</t>
        </is>
      </c>
    </row>
    <row r="58">
      <c r="A58" s="46" t="n">
        <v>46294.5</v>
      </c>
      <c r="B58" t="inlineStr">
        <is>
          <t>mumsz1c090e2</t>
        </is>
      </c>
      <c r="C58" t="inlineStr">
        <is>
          <t>Migrar 3.0 → 4.0</t>
        </is>
      </c>
      <c r="D58" t="inlineStr">
        <is>
          <t>Fichas</t>
        </is>
      </c>
      <c r="E58" t="n">
        <v>30</v>
      </c>
      <c r="F58" t="inlineStr">
        <is>
          <t>Alteração</t>
        </is>
      </c>
      <c r="G58" t="inlineStr">
        <is>
          <t>{"Início":"","Status":""}</t>
        </is>
      </c>
      <c r="H58" t="inlineStr">
        <is>
          <t>{"Início":{"$d":"2026-09-28T03:00:00.000Z"},"Status":"Vigente"}</t>
        </is>
      </c>
    </row>
    <row r="59">
      <c r="A59" s="46" t="n">
        <v>46294.5</v>
      </c>
      <c r="B59" t="inlineStr">
        <is>
          <t>mumsz1c090e2</t>
        </is>
      </c>
      <c r="C59" t="inlineStr">
        <is>
          <t>Migrar 3.0 → 4.0</t>
        </is>
      </c>
      <c r="D59" t="inlineStr">
        <is>
          <t>Fichas</t>
        </is>
      </c>
      <c r="E59" t="n">
        <v>31</v>
      </c>
      <c r="F59" t="inlineStr">
        <is>
          <t>Alteração</t>
        </is>
      </c>
      <c r="G59" t="inlineStr">
        <is>
          <t>{"Início":"","Status":""}</t>
        </is>
      </c>
      <c r="H59" t="inlineStr">
        <is>
          <t>{"Início":{"$d":"2026-09-28T03:00:00.000Z"},"Status":"Vigente"}</t>
        </is>
      </c>
    </row>
    <row r="60">
      <c r="A60" s="46" t="n">
        <v>46294.5</v>
      </c>
      <c r="B60" t="inlineStr">
        <is>
          <t>mumsz1c090e2</t>
        </is>
      </c>
      <c r="C60" t="inlineStr">
        <is>
          <t>Migrar 3.0 → 4.0</t>
        </is>
      </c>
      <c r="D60" t="inlineStr">
        <is>
          <t>Fichas</t>
        </is>
      </c>
      <c r="E60" t="n">
        <v>32</v>
      </c>
      <c r="F60" t="inlineStr">
        <is>
          <t>Alteração</t>
        </is>
      </c>
      <c r="G60" t="inlineStr">
        <is>
          <t>{"Início":"","Status":""}</t>
        </is>
      </c>
      <c r="H60" t="inlineStr">
        <is>
          <t>{"Início":{"$d":"2026-09-28T03:00:00.000Z"},"Status":"Vigente"}</t>
        </is>
      </c>
    </row>
    <row r="61">
      <c r="A61" s="46" t="n">
        <v>46294.5</v>
      </c>
      <c r="B61" t="inlineStr">
        <is>
          <t>mumsz1c090e2</t>
        </is>
      </c>
      <c r="C61" t="inlineStr">
        <is>
          <t>Migrar 3.0 → 4.0</t>
        </is>
      </c>
      <c r="D61" t="inlineStr">
        <is>
          <t>Fichas</t>
        </is>
      </c>
      <c r="E61" t="n">
        <v>33</v>
      </c>
      <c r="F61" t="inlineStr">
        <is>
          <t>Alteração</t>
        </is>
      </c>
      <c r="G61" t="inlineStr">
        <is>
          <t>{"Início":"","Status":""}</t>
        </is>
      </c>
      <c r="H61" t="inlineStr">
        <is>
          <t>{"Início":{"$d":"2026-09-28T03:00:00.000Z"},"Status":"Vigente"}</t>
        </is>
      </c>
    </row>
    <row r="62">
      <c r="A62" s="46" t="n">
        <v>46294.5</v>
      </c>
      <c r="B62" t="inlineStr">
        <is>
          <t>mumsz1c090e2</t>
        </is>
      </c>
      <c r="C62" t="inlineStr">
        <is>
          <t>Migrar 3.0 → 4.0</t>
        </is>
      </c>
      <c r="D62" t="inlineStr">
        <is>
          <t>Fichas</t>
        </is>
      </c>
      <c r="E62" t="n">
        <v>34</v>
      </c>
      <c r="F62" t="inlineStr">
        <is>
          <t>Alteração</t>
        </is>
      </c>
      <c r="G62" t="inlineStr">
        <is>
          <t>{"Início":"","Status":""}</t>
        </is>
      </c>
      <c r="H62" t="inlineStr">
        <is>
          <t>{"Início":{"$d":"2026-09-28T03:00:00.000Z"},"Status":"Vigente"}</t>
        </is>
      </c>
    </row>
    <row r="63">
      <c r="A63" s="46" t="n">
        <v>46294.5</v>
      </c>
      <c r="B63" t="inlineStr">
        <is>
          <t>mumsz1c090e2</t>
        </is>
      </c>
      <c r="C63" t="inlineStr">
        <is>
          <t>Migrar 3.0 → 4.0</t>
        </is>
      </c>
      <c r="D63" t="inlineStr">
        <is>
          <t>Fichas</t>
        </is>
      </c>
      <c r="E63" t="n">
        <v>35</v>
      </c>
      <c r="F63" t="inlineStr">
        <is>
          <t>Alteração</t>
        </is>
      </c>
      <c r="G63" t="inlineStr">
        <is>
          <t>{"Início":"","Status":""}</t>
        </is>
      </c>
      <c r="H63" t="inlineStr">
        <is>
          <t>{"Início":{"$d":"2026-09-28T03:00:00.000Z"},"Status":"Vigente"}</t>
        </is>
      </c>
    </row>
    <row r="64">
      <c r="A64" s="46" t="n">
        <v>46294.5</v>
      </c>
      <c r="B64" t="inlineStr">
        <is>
          <t>mumsz1c090e2</t>
        </is>
      </c>
      <c r="C64" t="inlineStr">
        <is>
          <t>Migrar 3.0 → 4.0</t>
        </is>
      </c>
      <c r="D64" t="inlineStr">
        <is>
          <t>Fichas</t>
        </is>
      </c>
      <c r="E64" t="n">
        <v>36</v>
      </c>
      <c r="F64" t="inlineStr">
        <is>
          <t>Alteração</t>
        </is>
      </c>
      <c r="G64" t="inlineStr">
        <is>
          <t>{"Início":"","Status":""}</t>
        </is>
      </c>
      <c r="H64" t="inlineStr">
        <is>
          <t>{"Início":{"$d":"2026-09-28T03:00:00.000Z"},"Status":"Vigente"}</t>
        </is>
      </c>
    </row>
    <row r="65">
      <c r="A65" s="46" t="n">
        <v>46294.5</v>
      </c>
      <c r="B65" t="inlineStr">
        <is>
          <t>mumsz1c090e2</t>
        </is>
      </c>
      <c r="C65" t="inlineStr">
        <is>
          <t>Migrar 3.0 → 4.0</t>
        </is>
      </c>
      <c r="D65" t="inlineStr">
        <is>
          <t>Fichas</t>
        </is>
      </c>
      <c r="E65" t="n">
        <v>37</v>
      </c>
      <c r="F65" t="inlineStr">
        <is>
          <t>Alteração</t>
        </is>
      </c>
      <c r="G65" t="inlineStr">
        <is>
          <t>{"Início":"","Status":""}</t>
        </is>
      </c>
      <c r="H65" t="inlineStr">
        <is>
          <t>{"Início":{"$d":"2026-09-28T03:00:00.000Z"},"Status":"Vigente"}</t>
        </is>
      </c>
    </row>
    <row r="66">
      <c r="A66" s="46" t="n">
        <v>46294.5</v>
      </c>
      <c r="B66" t="inlineStr">
        <is>
          <t>mumsz1c090e2</t>
        </is>
      </c>
      <c r="C66" t="inlineStr">
        <is>
          <t>Migrar 3.0 → 4.0</t>
        </is>
      </c>
      <c r="D66" t="inlineStr">
        <is>
          <t>Fichas</t>
        </is>
      </c>
      <c r="E66" t="n">
        <v>38</v>
      </c>
      <c r="F66" t="inlineStr">
        <is>
          <t>Alteração</t>
        </is>
      </c>
      <c r="G66" t="inlineStr">
        <is>
          <t>{"Início":"","Status":""}</t>
        </is>
      </c>
      <c r="H66" t="inlineStr">
        <is>
          <t>{"Início":{"$d":"2026-09-28T03:00:00.000Z"},"Status":"Vigente"}</t>
        </is>
      </c>
    </row>
    <row r="67">
      <c r="A67" s="46" t="n">
        <v>46294.5</v>
      </c>
      <c r="B67" t="inlineStr">
        <is>
          <t>mumsz1c090e2</t>
        </is>
      </c>
      <c r="C67" t="inlineStr">
        <is>
          <t>Migrar 3.0 → 4.0</t>
        </is>
      </c>
      <c r="D67" t="inlineStr">
        <is>
          <t>Fichas</t>
        </is>
      </c>
      <c r="E67" t="n">
        <v>39</v>
      </c>
      <c r="F67" t="inlineStr">
        <is>
          <t>Alteração</t>
        </is>
      </c>
      <c r="G67" t="inlineStr">
        <is>
          <t>{"Início":"","Status":""}</t>
        </is>
      </c>
      <c r="H67" t="inlineStr">
        <is>
          <t>{"Início":{"$d":"2026-09-28T03:00:00.000Z"},"Status":"Vigente"}</t>
        </is>
      </c>
    </row>
    <row r="68">
      <c r="A68" s="46" t="n">
        <v>46294.5</v>
      </c>
      <c r="B68" t="inlineStr">
        <is>
          <t>mumsz1c090e2</t>
        </is>
      </c>
      <c r="C68" t="inlineStr">
        <is>
          <t>Migrar 3.0 → 4.0</t>
        </is>
      </c>
      <c r="D68" t="inlineStr">
        <is>
          <t>Fichas</t>
        </is>
      </c>
      <c r="E68" t="n">
        <v>40</v>
      </c>
      <c r="F68" t="inlineStr">
        <is>
          <t>Alteração</t>
        </is>
      </c>
      <c r="G68" t="inlineStr">
        <is>
          <t>{"Início":"","Status":""}</t>
        </is>
      </c>
      <c r="H68" t="inlineStr">
        <is>
          <t>{"Início":{"$d":"2026-09-28T03:00:00.000Z"},"Status":"Vigente"}</t>
        </is>
      </c>
    </row>
    <row r="69">
      <c r="A69" s="46" t="n">
        <v>46294.5</v>
      </c>
      <c r="B69" t="inlineStr">
        <is>
          <t>mumsz1c090e2</t>
        </is>
      </c>
      <c r="C69" t="inlineStr">
        <is>
          <t>Migrar 3.0 → 4.0</t>
        </is>
      </c>
      <c r="D69" t="inlineStr">
        <is>
          <t>Fichas</t>
        </is>
      </c>
      <c r="E69" t="n">
        <v>41</v>
      </c>
      <c r="F69" t="inlineStr">
        <is>
          <t>Alteração</t>
        </is>
      </c>
      <c r="G69" t="inlineStr">
        <is>
          <t>{"Início":"","Status":""}</t>
        </is>
      </c>
      <c r="H69" t="inlineStr">
        <is>
          <t>{"Início":{"$d":"2026-09-28T03:00:00.000Z"},"Status":"Vigente"}</t>
        </is>
      </c>
    </row>
    <row r="70">
      <c r="A70" s="46" t="n">
        <v>46294.5</v>
      </c>
      <c r="B70" t="inlineStr">
        <is>
          <t>mumsz1c090e2</t>
        </is>
      </c>
      <c r="C70" t="inlineStr">
        <is>
          <t>Migrar 3.0 → 4.0</t>
        </is>
      </c>
      <c r="D70" t="inlineStr">
        <is>
          <t>Fichas</t>
        </is>
      </c>
      <c r="E70" t="n">
        <v>42</v>
      </c>
      <c r="F70" t="inlineStr">
        <is>
          <t>Alteração</t>
        </is>
      </c>
      <c r="G70" t="inlineStr">
        <is>
          <t>{"Início":"","Status":""}</t>
        </is>
      </c>
      <c r="H70" t="inlineStr">
        <is>
          <t>{"Início":{"$d":"2026-09-28T03:00:00.000Z"},"Status":"Vigente"}</t>
        </is>
      </c>
    </row>
    <row r="71">
      <c r="A71" s="46" t="n">
        <v>46294.5</v>
      </c>
      <c r="B71" t="inlineStr">
        <is>
          <t>mumsz1c090e2</t>
        </is>
      </c>
      <c r="C71" t="inlineStr">
        <is>
          <t>Migrar 3.0 → 4.0</t>
        </is>
      </c>
      <c r="D71" t="inlineStr">
        <is>
          <t>Fichas</t>
        </is>
      </c>
      <c r="E71" t="n">
        <v>43</v>
      </c>
      <c r="F71" t="inlineStr">
        <is>
          <t>Alteração</t>
        </is>
      </c>
      <c r="G71" t="inlineStr">
        <is>
          <t>{"Início":"","Status":""}</t>
        </is>
      </c>
      <c r="H71" t="inlineStr">
        <is>
          <t>{"Início":{"$d":"2026-09-28T03:00:00.000Z"},"Status":"Vigente"}</t>
        </is>
      </c>
    </row>
    <row r="72">
      <c r="A72" s="46" t="n">
        <v>46294.5</v>
      </c>
      <c r="B72" t="inlineStr">
        <is>
          <t>mumsz1c090e2</t>
        </is>
      </c>
      <c r="C72" t="inlineStr">
        <is>
          <t>Migrar 3.0 → 4.0</t>
        </is>
      </c>
      <c r="D72" t="inlineStr">
        <is>
          <t>Fichas</t>
        </is>
      </c>
      <c r="E72" t="n">
        <v>44</v>
      </c>
      <c r="F72" t="inlineStr">
        <is>
          <t>Alteração</t>
        </is>
      </c>
      <c r="G72" t="inlineStr">
        <is>
          <t>{"Início":"","Status":""}</t>
        </is>
      </c>
      <c r="H72" t="inlineStr">
        <is>
          <t>{"Início":{"$d":"2026-09-28T03:00:00.000Z"},"Status":"Vigente"}</t>
        </is>
      </c>
    </row>
    <row r="73">
      <c r="A73" s="46" t="n">
        <v>46294.5</v>
      </c>
      <c r="B73" t="inlineStr">
        <is>
          <t>mumsz1c090e2</t>
        </is>
      </c>
      <c r="C73" t="inlineStr">
        <is>
          <t>Migrar 3.0 → 4.0</t>
        </is>
      </c>
      <c r="D73" t="inlineStr">
        <is>
          <t>Fichas</t>
        </is>
      </c>
      <c r="E73" t="n">
        <v>45</v>
      </c>
      <c r="F73" t="inlineStr">
        <is>
          <t>Alteração</t>
        </is>
      </c>
      <c r="G73" t="inlineStr">
        <is>
          <t>{"Início":"","Status":""}</t>
        </is>
      </c>
      <c r="H73" t="inlineStr">
        <is>
          <t>{"Início":{"$d":"2026-09-28T03:00:00.000Z"},"Status":"Vigente"}</t>
        </is>
      </c>
    </row>
    <row r="74">
      <c r="A74" s="46" t="n">
        <v>46294.5</v>
      </c>
      <c r="B74" t="inlineStr">
        <is>
          <t>mumsz1c090e2</t>
        </is>
      </c>
      <c r="C74" t="inlineStr">
        <is>
          <t>Migrar 3.0 → 4.0</t>
        </is>
      </c>
      <c r="D74" t="inlineStr">
        <is>
          <t>Fichas</t>
        </is>
      </c>
      <c r="E74" t="n">
        <v>46</v>
      </c>
      <c r="F74" t="inlineStr">
        <is>
          <t>Alteração</t>
        </is>
      </c>
      <c r="G74" t="inlineStr">
        <is>
          <t>{"Início":"","Status":""}</t>
        </is>
      </c>
      <c r="H74" t="inlineStr">
        <is>
          <t>{"Início":{"$d":"2026-09-28T03:00:00.000Z"},"Status":"Vigente"}</t>
        </is>
      </c>
    </row>
    <row r="75">
      <c r="A75" s="46" t="n">
        <v>46294.5</v>
      </c>
      <c r="B75" t="inlineStr">
        <is>
          <t>mumsz1c090e2</t>
        </is>
      </c>
      <c r="C75" t="inlineStr">
        <is>
          <t>Migrar 3.0 → 4.0</t>
        </is>
      </c>
      <c r="D75" t="inlineStr">
        <is>
          <t>Fichas</t>
        </is>
      </c>
      <c r="E75" t="n">
        <v>47</v>
      </c>
      <c r="F75" t="inlineStr">
        <is>
          <t>Alteração</t>
        </is>
      </c>
      <c r="G75" t="inlineStr">
        <is>
          <t>{"Início":"","Status":""}</t>
        </is>
      </c>
      <c r="H75" t="inlineStr">
        <is>
          <t>{"Início":{"$d":"2026-09-28T03:00:00.000Z"},"Status":"Vigente"}</t>
        </is>
      </c>
    </row>
    <row r="76">
      <c r="A76" s="46" t="n">
        <v>46294.5</v>
      </c>
      <c r="B76" t="inlineStr">
        <is>
          <t>mumsz1c090e2</t>
        </is>
      </c>
      <c r="C76" t="inlineStr">
        <is>
          <t>Migrar 3.0 → 4.0</t>
        </is>
      </c>
      <c r="D76" t="inlineStr">
        <is>
          <t>Fichas</t>
        </is>
      </c>
      <c r="E76" t="n">
        <v>48</v>
      </c>
      <c r="F76" t="inlineStr">
        <is>
          <t>Alteração</t>
        </is>
      </c>
      <c r="G76" t="inlineStr">
        <is>
          <t>{"Início":"","Status":""}</t>
        </is>
      </c>
      <c r="H76" t="inlineStr">
        <is>
          <t>{"Início":{"$d":"2026-09-28T03:00:00.000Z"},"Status":"Vigente"}</t>
        </is>
      </c>
    </row>
    <row r="77">
      <c r="A77" s="46" t="n">
        <v>46294.5</v>
      </c>
      <c r="B77" t="inlineStr">
        <is>
          <t>mumsz1c090e2</t>
        </is>
      </c>
      <c r="C77" t="inlineStr">
        <is>
          <t>Migrar 3.0 → 4.0</t>
        </is>
      </c>
      <c r="D77" t="inlineStr">
        <is>
          <t>Fichas</t>
        </is>
      </c>
      <c r="E77" t="n">
        <v>49</v>
      </c>
      <c r="F77" t="inlineStr">
        <is>
          <t>Alteração</t>
        </is>
      </c>
      <c r="G77" t="inlineStr">
        <is>
          <t>{"Início":"","Status":""}</t>
        </is>
      </c>
      <c r="H77" t="inlineStr">
        <is>
          <t>{"Início":{"$d":"2026-09-28T03:00:00.000Z"},"Status":"Vigente"}</t>
        </is>
      </c>
    </row>
    <row r="78">
      <c r="A78" s="46" t="n">
        <v>46294.5</v>
      </c>
      <c r="B78" t="inlineStr">
        <is>
          <t>mumsz1c090e2</t>
        </is>
      </c>
      <c r="C78" t="inlineStr">
        <is>
          <t>Migrar 3.0 → 4.0</t>
        </is>
      </c>
      <c r="D78" t="inlineStr">
        <is>
          <t>Metas</t>
        </is>
      </c>
      <c r="E78" t="n">
        <v>6</v>
      </c>
      <c r="F78" t="inlineStr">
        <is>
          <t>Alteração</t>
        </is>
      </c>
      <c r="G78" t="inlineStr">
        <is>
          <t>{"Início":{"$d":"1900-01-01T03:06:28.000Z"},"Motivo":"Referência inicial dos chats. Vigência inicial técnica; data do projeto no perfil.","Status":"","Cardio/sem":"","Atividades/sem":"","TMB kcal":"","Método TMB":"","Fator de atividade":"","Gasto estimado kcal":"","Revisor":""}</t>
        </is>
      </c>
      <c r="H78" t="inlineStr">
        <is>
          <t>{"Início":{"$d":"2026-09-28T03:00:00.000Z"},"Motivo":"Referência inicial dos chats; início real 28/09/2026 (a 3.0 usava 01/01/1900 como vigência técnica).","Status":"Vigente","Cardio/sem":0,"Atividades/sem":2,"TMB kcal":1673.75,"Método TMB":"Mifflin-St Jeor","Fator de atividade":1.55,"Gasto estimado kcal":2594.31,"Revisor":"Luan"}</t>
        </is>
      </c>
    </row>
    <row r="79">
      <c r="A79" s="46" t="n">
        <v>46294.5</v>
      </c>
      <c r="B79" t="inlineStr">
        <is>
          <t>mumsz1c090e2</t>
        </is>
      </c>
      <c r="C79" t="inlineStr">
        <is>
          <t>Migrar 3.0 → 4.0</t>
        </is>
      </c>
      <c r="D79" t="inlineStr">
        <is>
          <t>Objetivos</t>
        </is>
      </c>
      <c r="E79" t="n">
        <v>6</v>
      </c>
      <c r="F79" t="inlineStr">
        <is>
          <t>Inclusão</t>
        </is>
      </c>
      <c r="H79" t="inlineStr">
        <is>
          <t>{"ID":"O001","Objetivo":"Recomposição corporal","Tipo de análise":"recomposicao","Início":{"$d":"2026-09-28T03:00:00.000Z"},"Fim":"","Status":"Vigente","Peso inicial kg":67,"Motivo da mudança":"Objetivo inicial (migração 3.0 → 4.0)","Expectativa principal":"Ganhar músculo e acompanhar cintura, desempenho e recuperação","kcal iniciais":2400,"Proteína g":140,"Gordura g":65,"Carboidrato g":313.75,"Treinos/sem":3,"Cardio/sem":0,"Atividades/sem":2,"Revisor":"Luan"}</t>
        </is>
      </c>
    </row>
    <row r="80">
      <c r="A80" s="46" t="n">
        <v>46294.5</v>
      </c>
      <c r="B80" t="inlineStr">
        <is>
          <t>mumsz1c090e2</t>
        </is>
      </c>
      <c r="C80" t="inlineStr">
        <is>
          <t>Migrar 3.0 → 4.0</t>
        </is>
      </c>
      <c r="D80" t="inlineStr">
        <is>
          <t>Metas</t>
        </is>
      </c>
      <c r="E80" t="n">
        <v>6</v>
      </c>
      <c r="F80" t="inlineStr">
        <is>
          <t>Alteração</t>
        </is>
      </c>
      <c r="G80" t="inlineStr">
        <is>
          <t>{"Objetivo":""}</t>
        </is>
      </c>
      <c r="H80" t="inlineStr">
        <is>
          <t>{"Objetivo":"O001"}</t>
        </is>
      </c>
    </row>
    <row r="81">
      <c r="A81" s="46" t="n">
        <v>46294.5</v>
      </c>
      <c r="B81" t="inlineStr">
        <is>
          <t>mumsz1c090e2</t>
        </is>
      </c>
      <c r="C81" t="inlineStr">
        <is>
          <t>Migrar 3.0 → 4.0</t>
        </is>
      </c>
      <c r="D81" t="inlineStr">
        <is>
          <t>Objetivos</t>
        </is>
      </c>
      <c r="E81" t="n">
        <v>6</v>
      </c>
      <c r="F81" t="inlineStr">
        <is>
          <t>Alteração</t>
        </is>
      </c>
      <c r="G81" t="inlineStr">
        <is>
          <t>{"Meta ligada":"","Ficha ligada":""}</t>
        </is>
      </c>
      <c r="H81" t="inlineStr">
        <is>
          <t>{"Meta ligada":"M001","Ficha ligada":"F002"}</t>
        </is>
      </c>
    </row>
    <row r="82">
      <c r="A82" s="46" t="n">
        <v>46294.5</v>
      </c>
      <c r="B82" t="inlineStr">
        <is>
          <t>mumsz1c090e2</t>
        </is>
      </c>
      <c r="C82" t="inlineStr">
        <is>
          <t>Migrar 3.0 → 4.0</t>
        </is>
      </c>
      <c r="D82" t="inlineStr">
        <is>
          <t>Guia</t>
        </is>
      </c>
      <c r="F82" t="inlineStr">
        <is>
          <t>Células</t>
        </is>
      </c>
      <c r="G82" t="inlineStr">
        <is>
          <t>{"C17":"Zoio: sequência contínua avança só ao concluir sessão.","B21":"Zoio: Push A → Pull A → Legs A → Push B → Pull B → Legs B. Breno: Upper → Lower → Full Body.","C21":"O agendamento semanal não reinicia a rotação do Zoio."}</t>
        </is>
      </c>
      <c r="H82" t="inlineStr">
        <is>
          <t>{"C17":"","B21":"Breno: Upper → Lower → Full Body.","C21":""}</t>
        </is>
      </c>
    </row>
    <row r="83">
      <c r="A83" s="46" t="n">
        <v>46294.5</v>
      </c>
      <c r="B83" t="inlineStr">
        <is>
          <t>mumsz1c090e2</t>
        </is>
      </c>
      <c r="C83" t="inlineStr">
        <is>
          <t>Migrar 3.0 → 4.0</t>
        </is>
      </c>
      <c r="D83" t="inlineStr">
        <is>
          <t>Hoje</t>
        </is>
      </c>
      <c r="F83" t="inlineStr">
        <is>
          <t>Células</t>
        </is>
      </c>
      <c r="G83" t="inlineStr">
        <is>
          <t>{"E5":"Revisão 3.0 validada: fichas, unidades e volume dos work sets."}</t>
        </is>
      </c>
      <c r="H83" t="inlineStr">
        <is>
          <t>{"E5":"Planilha 4.0: objetivo, meta e ficha em vigor vêm das abas Objetivos, Metas e Fichas."}</t>
        </is>
      </c>
    </row>
    <row r="84">
      <c r="A84" s="46" t="n">
        <v>46294.5</v>
      </c>
      <c r="B84" t="inlineStr">
        <is>
          <t>mumsz1c090e2</t>
        </is>
      </c>
      <c r="C84" t="inlineStr">
        <is>
          <t>Migrar 3.0 → 4.0</t>
        </is>
      </c>
      <c r="D84" t="inlineStr">
        <is>
          <t>Revisões</t>
        </is>
      </c>
      <c r="E84" t="n">
        <v>6</v>
      </c>
      <c r="F84" t="inlineStr">
        <is>
          <t>Alteração</t>
        </is>
      </c>
      <c r="G84" t="inlineStr">
        <is>
          <t>{"Ficha":""}</t>
        </is>
      </c>
      <c r="H84" t="inlineStr">
        <is>
          <t>{"Ficha":"F001"}</t>
        </is>
      </c>
    </row>
    <row r="85">
      <c r="A85" s="46" t="n">
        <v>46294.5</v>
      </c>
      <c r="B85" t="inlineStr">
        <is>
          <t>mumsz1c090e2</t>
        </is>
      </c>
      <c r="C85" t="inlineStr">
        <is>
          <t>Migrar 3.0 → 4.0</t>
        </is>
      </c>
      <c r="D85" t="inlineStr">
        <is>
          <t>Revisões</t>
        </is>
      </c>
      <c r="E85" t="n">
        <v>7</v>
      </c>
      <c r="F85" t="inlineStr">
        <is>
          <t>Alteração</t>
        </is>
      </c>
      <c r="G85" t="inlineStr">
        <is>
          <t>{"Ficha":""}</t>
        </is>
      </c>
      <c r="H85" t="inlineStr">
        <is>
          <t>{"Ficha":"F001"}</t>
        </is>
      </c>
    </row>
    <row r="86">
      <c r="A86" s="46" t="n">
        <v>46294.5</v>
      </c>
      <c r="B86" t="inlineStr">
        <is>
          <t>mumsz1c090e2</t>
        </is>
      </c>
      <c r="C86" t="inlineStr">
        <is>
          <t>Migrar 3.0 → 4.0</t>
        </is>
      </c>
      <c r="D86" t="inlineStr">
        <is>
          <t>Revisões</t>
        </is>
      </c>
      <c r="E86" t="n">
        <v>8</v>
      </c>
      <c r="F86" t="inlineStr">
        <is>
          <t>Alteração</t>
        </is>
      </c>
      <c r="G86" t="inlineStr">
        <is>
          <t>{"Objetivo":"","Meta":"","Ficha":""}</t>
        </is>
      </c>
      <c r="H86" t="inlineStr">
        <is>
          <t>{"Objetivo":"O001","Meta":"M001","Ficha":"F002"}</t>
        </is>
      </c>
    </row>
    <row r="87">
      <c r="A87" s="46" t="n">
        <v>46294.5</v>
      </c>
      <c r="B87" t="inlineStr">
        <is>
          <t>mumsz1c090e2</t>
        </is>
      </c>
      <c r="C87" t="inlineStr">
        <is>
          <t>Migrar 3.0 → 4.0</t>
        </is>
      </c>
      <c r="D87" t="inlineStr">
        <is>
          <t>Revisões</t>
        </is>
      </c>
      <c r="E87" t="n">
        <v>9</v>
      </c>
      <c r="F87" t="inlineStr">
        <is>
          <t>Alteração</t>
        </is>
      </c>
      <c r="G87" t="inlineStr">
        <is>
          <t>{"Objetivo":"","Meta":"","Ficha":""}</t>
        </is>
      </c>
      <c r="H87" t="inlineStr">
        <is>
          <t>{"Objetivo":"O001","Meta":"M001","Ficha":"F002"}</t>
        </is>
      </c>
    </row>
    <row r="88">
      <c r="A88" s="46" t="n">
        <v>46294.5</v>
      </c>
      <c r="B88" t="inlineStr">
        <is>
          <t>mumsz1c090e2</t>
        </is>
      </c>
      <c r="C88" t="inlineStr">
        <is>
          <t>Migrar 3.0 → 4.0</t>
        </is>
      </c>
      <c r="D88" t="inlineStr">
        <is>
          <t>Revisões</t>
        </is>
      </c>
      <c r="E88" t="n">
        <v>10</v>
      </c>
      <c r="F88" t="inlineStr">
        <is>
          <t>Alteração</t>
        </is>
      </c>
      <c r="G88" t="inlineStr">
        <is>
          <t>{"Objetivo":"","Meta":"","Ficha":""}</t>
        </is>
      </c>
      <c r="H88" t="inlineStr">
        <is>
          <t>{"Objetivo":"O001","Meta":"M001","Ficha":"F002"}</t>
        </is>
      </c>
    </row>
    <row r="89">
      <c r="A89" s="46" t="n">
        <v>46294.5</v>
      </c>
      <c r="B89" t="inlineStr">
        <is>
          <t>mumsz1c090e2</t>
        </is>
      </c>
      <c r="C89" t="inlineStr">
        <is>
          <t>Migrar 3.0 → 4.0</t>
        </is>
      </c>
      <c r="D89" t="inlineStr">
        <is>
          <t>Exercícios</t>
        </is>
      </c>
      <c r="F89" t="inlineStr">
        <is>
          <t>Estrutura</t>
        </is>
      </c>
      <c r="H89" t="inlineStr">
        <is>
          <t>{"op":"namedRange","name":"ListaExercicios"}</t>
        </is>
      </c>
    </row>
    <row r="90">
      <c r="A90" s="46" t="n">
        <v>46294.5</v>
      </c>
      <c r="B90" t="inlineStr">
        <is>
          <t>mumsz1c090e2</t>
        </is>
      </c>
      <c r="C90" t="inlineStr">
        <is>
          <t>Migrar 3.0 → 4.0</t>
        </is>
      </c>
      <c r="D90" t="inlineStr">
        <is>
          <t>Painel</t>
        </is>
      </c>
      <c r="F90" t="inlineStr">
        <is>
          <t>Células</t>
        </is>
      </c>
      <c r="G90" t="inlineStr">
        <is>
          <t>{"B5":{"$f":"=Hoje!B5-WEEKDAY(Hoje!B5,2)+1"},"B7":{"$f":"=IF(COUNTIFS(Semanas!$A:$A,$B$5,Semanas!$D:$D,\"&gt;=-100000\")=0,\"\",SUMIFS(Semanas!$D:$D,Semanas!$A:$A,$B$5))"},"B8":{"$f":"=IF(COUNTIFS(Semanas!$A:$A,$B$5,Semanas!$E:$E,\"&gt;=-100000\")=0,\"\",SUMIFS(Semanas!$E:$E,Semanas!$A:$A,$B$5))"},"B9":{"$f":"=IF(COUNTIFS(Semanas!$A:$A,$B$5,Semanas!$F:$F,\"&gt;=-100000\")=0,\"\",SUMIFS(Semanas!$F:$F,Semanas!$A:$A,$B$5))"},"B10":{"$f":"=IF(COUNTIFS(Semanas!$A:$A,$B$5,Semanas!$G:$G,\"&gt;=-100000\")=0,\"\",SUMIFS(Semanas!$G:$G,Semanas!$A:$A,$B$5))"},"B11":{"$f":"=IF(COUNTIFS(Semanas!$A:$A,$B$5,Semanas!$H:$H,\"&gt;=-100000\")=0,\"\",SUMIFS(Semanas!$H:$H,Semanas!$A:$A,$B$5))"},"B12":{"$f":"=IF(COUNTIFS(Semanas!$A:$A,$B$5,Semanas!$I:$I,\"&gt;=-100000\")=0,\"\",SUMIFS(Semanas!$I:$I,Semanas!$A:$A,$B$5))"},"B13":{"$f":"=IF(COUNTIFS(Semanas!$A:$A,$B$5,Semanas!$J:$J,\"&gt;=-100000\")=0,\"\",SUMIFS(Semanas!$J:$J,Semanas!$A:$A,$B$5))"},"B14":{"$f":"=IF(COUNTIFS(Semanas!$A:$A,$B$5,Semanas!$K:$K,\"&gt;=-100000\")=0,\"\",SUMIFS(Semanas!$K:$K,Semanas!$A:$A,$B$5))"},"B15":{"$f":"=IF(COUNTIFS(Semanas!$A:$A,$B$5,Semanas!$L:$L,\"&gt;=-100000\")=0,\"\",SUMIFS(Semanas!$L:$L,Semanas!$A:$A,$B$5))"},"B16":{"$f":"=IF(COUNTIFS(Semanas!$A:$A,$B$5,Semanas!$M:$M,\"&gt;=-100000\")=0,\"\",SUMIFS(Semanas!$M:$M,Semanas!$A:$A,$B$5))"},"B17":{"$f":"=IF(COUNTIFS(Semanas!$A:$A,$B$5,Semanas!$N:$N,\"&gt;=-100000\")=0,\"\",SUMIFS(Semanas!$N:$N,Semanas!$A:$A,$B$5))"},"B18":{"$f":"=IF(COUNTIFS(Semanas!$A:$A,$B$5,Semanas!$O:$O,\"&gt;=-100000\")=0,\"\",SUMIFS(Semanas!$O:$O,Semanas!$A:$A,$B$5))"},"B19":{"$f":"=IF(COUNTIFS(Semanas!$A:$A,$B$5,Semanas!$P:$P,\"&gt;=-100000\")=0,\"\",SUMIFS(Semanas!$P:$P,Semanas!$A:$A,$B$5))"},"B20":{"$f":"=IF(COUNTIFS(Semanas!$A:$A,$B$5,Semanas!$Q:$Q,\"&gt;=-100000\")=0,\"\",SUMIFS(Semanas!$Q:$Q,Semanas!$A:$A,$B$5))"},"B21":{"$f":"=IF(COUNTIFS(Semanas!$A:$A,$B$5,Semanas!$R:$R,\"&gt;=-100000\")=0,\"\",SUMIFS(Semanas!$R:$R,Semanas!$A:$A,$B$5))"},"B22":{"$f":"=IF(COUNTIFS(Semanas!$A:$A,$B$5,Semanas!$C:$C,\"&gt;=-100000\")=0,\"\",SUMIFS(Semanas!$C:$C,Semanas!$A:$A,$B$5))"},"B26":{"$f":"=IF(B13=\"\",\"Sem histórico alimentar. Registre o que souber.\",\"Médias calculadas com \"&amp;B13&amp;\" dias completos e com cálculo; não representam os dias ausentes.\")"},"B28":{"$f":"=IF($B$5+6&gt;=TODAY(),\"Sim. Não comparar contagens com uma semana completa.\",\"Não.\")"},"B36":{"$f":"=ARRAYFORMULA(IFERROR(INDEX(Semanas!$V$6:$V1000,MATCH(B5,Semanas!$A$6:$A1000,0)),\"Sem registros nesta semana\"))"},"B38":{"$f":"=ARRAYFORMULA(IFERROR(INDEX(Semanas!$U$6:$U1000,MATCH(B5,Semanas!$A$6:$A1000,0)),0))"}}</t>
        </is>
      </c>
      <c r="H90" t="inlineStr">
        <is>
          <t>{"B5":"","B7":"","B8":"","B9":"","B10":"","B11":"","B12":"","B13":"","B14":"","B15":"","B16":"","B17":"","B18":"","B19":"","B20":"","B21":"","B22":"","B26":"","B28":"","B36":"","B38":""}</t>
        </is>
      </c>
    </row>
    <row r="91">
      <c r="A91" s="46" t="n">
        <v>46294.5</v>
      </c>
      <c r="B91" t="inlineStr">
        <is>
          <t>mumsz1c090e2</t>
        </is>
      </c>
      <c r="C91" t="inlineStr">
        <is>
          <t>Migrar 3.0 → 4.0</t>
        </is>
      </c>
      <c r="D91" t="inlineStr">
        <is>
          <t>Config</t>
        </is>
      </c>
      <c r="E91" t="n">
        <v>41</v>
      </c>
      <c r="F91" t="inlineStr">
        <is>
          <t>Alteração</t>
        </is>
      </c>
      <c r="G91" t="inlineStr">
        <is>
          <t>{"Valor":""}</t>
        </is>
      </c>
      <c r="H91" t="inlineStr">
        <is>
          <t>{"Valor":"4.0"}</t>
        </is>
      </c>
    </row>
    <row r="92">
      <c r="A92" s="46" t="n">
        <v>46294.5</v>
      </c>
      <c r="B92" t="inlineStr">
        <is>
          <t>mumsz1c090e2</t>
        </is>
      </c>
      <c r="C92" t="inlineStr">
        <is>
          <t>Migrar 3.0 → 4.0</t>
        </is>
      </c>
      <c r="D92" t="inlineStr">
        <is>
          <t>Auditoria</t>
        </is>
      </c>
      <c r="E92" t="n">
        <v>6</v>
      </c>
      <c r="F92" t="inlineStr">
        <is>
          <t>Inclusão</t>
        </is>
      </c>
      <c r="H92" t="inlineStr">
        <is>
          <t>{"Data":{"$d":"2026-09-29T15:00:00.000Z"},"Severidade":"Info","Aba":"Metas","Célula/linha":"","Problema":"Aba \"Histórico de metas\" renomeada para \"Metas\" (mesma aba: links e gráficos continuam).","Correção":"Renomeada no lugar.","Estado":"Corrigido","Código":"tab_renamed","Valor anterior":"Histórico de metas"}</t>
        </is>
      </c>
    </row>
    <row r="93">
      <c r="A93" s="46" t="n">
        <v>46294.5</v>
      </c>
      <c r="B93" t="inlineStr">
        <is>
          <t>mumsz1c090e2</t>
        </is>
      </c>
      <c r="C93" t="inlineStr">
        <is>
          <t>Migrar 3.0 → 4.0</t>
        </is>
      </c>
      <c r="D93" t="inlineStr">
        <is>
          <t>Auditoria</t>
        </is>
      </c>
      <c r="E93" t="n">
        <v>7</v>
      </c>
      <c r="F93" t="inlineStr">
        <is>
          <t>Inclusão</t>
        </is>
      </c>
      <c r="H93" t="inlineStr">
        <is>
          <t>{"Data":{"$d":"2026-09-29T15:00:00.000Z"},"Severidade":"Info","Aba":"Fichas","Célula/linha":"","Problema":"Aba \"Histórico de fichas\" renomeada para \"Fichas\" (mesma aba: links e gráficos continuam).","Correção":"Renomeada no lugar.","Estado":"Corrigido","Código":"tab_renamed","Valor anterior":"Histórico de fichas"}</t>
        </is>
      </c>
    </row>
    <row r="94">
      <c r="A94" s="46" t="n">
        <v>46294.5</v>
      </c>
      <c r="B94" t="inlineStr">
        <is>
          <t>mumsz1c090e2</t>
        </is>
      </c>
      <c r="C94" t="inlineStr">
        <is>
          <t>Migrar 3.0 → 4.0</t>
        </is>
      </c>
      <c r="D94" t="inlineStr">
        <is>
          <t>Auditoria</t>
        </is>
      </c>
      <c r="E94" t="n">
        <v>8</v>
      </c>
      <c r="F94" t="inlineStr">
        <is>
          <t>Inclusão</t>
        </is>
      </c>
      <c r="H94" t="inlineStr">
        <is>
          <t>{"Data":{"$d":"2026-09-29T15:00:00.000Z"},"Severidade":"Info","Aba":"Config","Célula/linha":"","Problema":"Aba \"Macros e perfil\" renomeada para \"Config\" (mesma aba: links e gráficos continuam).","Correção":"Renomeada no lugar.","Estado":"Corrigido","Código":"tab_renamed","Valor anterior":"Macros e perfil"}</t>
        </is>
      </c>
    </row>
    <row r="95">
      <c r="A95" s="46" t="n">
        <v>46294.5</v>
      </c>
      <c r="B95" t="inlineStr">
        <is>
          <t>mumsz1c090e2</t>
        </is>
      </c>
      <c r="C95" t="inlineStr">
        <is>
          <t>Migrar 3.0 → 4.0</t>
        </is>
      </c>
      <c r="D95" t="inlineStr">
        <is>
          <t>Auditoria</t>
        </is>
      </c>
      <c r="E95" t="n">
        <v>9</v>
      </c>
      <c r="F95" t="inlineStr">
        <is>
          <t>Inclusão</t>
        </is>
      </c>
      <c r="H95" t="inlineStr">
        <is>
          <t>{"Data":{"$d":"2026-09-29T15:00:00.000Z"},"Severidade":"Info","Aba":"Guia","Célula/linha":"","Problema":"Aba \"Guia e fontes\" renomeada para \"Guia\" (mesma aba: links e gráficos continuam).","Correção":"Renomeada no lugar.","Estado":"Corrigido","Código":"tab_renamed","Valor anterior":"Guia e fontes"}</t>
        </is>
      </c>
    </row>
    <row r="96">
      <c r="A96" s="46" t="n">
        <v>46294.5</v>
      </c>
      <c r="B96" t="inlineStr">
        <is>
          <t>mumsz1c090e2</t>
        </is>
      </c>
      <c r="C96" t="inlineStr">
        <is>
          <t>Migrar 3.0 → 4.0</t>
        </is>
      </c>
      <c r="D96" t="inlineStr">
        <is>
          <t>Auditoria</t>
        </is>
      </c>
      <c r="E96" t="n">
        <v>10</v>
      </c>
      <c r="F96" t="inlineStr">
        <is>
          <t>Inclusão</t>
        </is>
      </c>
      <c r="H96" t="inlineStr">
        <is>
          <t>{"Data":{"$d":"2026-09-29T15:00:00.000Z"},"Severidade":"Info","Aba":"Evolução","Célula/linha":"","Problema":"Aba \"Evolução\" criada.","Correção":"Criada com título, ajuda e cabeçalho da 4.0.","Estado":"Corrigido","Código":"tab_created","Valor anterior":""}</t>
        </is>
      </c>
    </row>
    <row r="97">
      <c r="A97" s="46" t="n">
        <v>46294.5</v>
      </c>
      <c r="B97" t="inlineStr">
        <is>
          <t>mumsz1c090e2</t>
        </is>
      </c>
      <c r="C97" t="inlineStr">
        <is>
          <t>Migrar 3.0 → 4.0</t>
        </is>
      </c>
      <c r="D97" t="inlineStr">
        <is>
          <t>Auditoria</t>
        </is>
      </c>
      <c r="E97" t="n">
        <v>11</v>
      </c>
      <c r="F97" t="inlineStr">
        <is>
          <t>Inclusão</t>
        </is>
      </c>
      <c r="H97" t="inlineStr">
        <is>
          <t>{"Data":{"$d":"2026-09-29T15:00:00.000Z"},"Severidade":"Info","Aba":"Objetivos","Célula/linha":"","Problema":"Aba \"Objetivos\" criada.","Correção":"Criada com título, ajuda e cabeçalho da 4.0.","Estado":"Corrigido","Código":"tab_created","Valor anterior":""}</t>
        </is>
      </c>
    </row>
    <row r="98">
      <c r="A98" s="46" t="n">
        <v>46294.5</v>
      </c>
      <c r="B98" t="inlineStr">
        <is>
          <t>mumsz1c090e2</t>
        </is>
      </c>
      <c r="C98" t="inlineStr">
        <is>
          <t>Migrar 3.0 → 4.0</t>
        </is>
      </c>
      <c r="D98" t="inlineStr">
        <is>
          <t>Auditoria</t>
        </is>
      </c>
      <c r="E98" t="n">
        <v>12</v>
      </c>
      <c r="F98" t="inlineStr">
        <is>
          <t>Inclusão</t>
        </is>
      </c>
      <c r="H98" t="inlineStr">
        <is>
          <t>{"Data":{"$d":"2026-09-29T15:00:00.000Z"},"Severidade":"Info","Aba":"Auditoria","Célula/linha":"","Problema":"Aba \"Auditoria\" criada.","Correção":"Criada com título, ajuda e cabeçalho da 4.0.","Estado":"Corrigido","Código":"tab_created","Valor anterior":""}</t>
        </is>
      </c>
    </row>
    <row r="99">
      <c r="A99" s="46" t="n">
        <v>46294.5</v>
      </c>
      <c r="B99" t="inlineStr">
        <is>
          <t>mumsz1c090e2</t>
        </is>
      </c>
      <c r="C99" t="inlineStr">
        <is>
          <t>Migrar 3.0 → 4.0</t>
        </is>
      </c>
      <c r="D99" t="inlineStr">
        <is>
          <t>Auditoria</t>
        </is>
      </c>
      <c r="E99" t="n">
        <v>13</v>
      </c>
      <c r="F99" t="inlineStr">
        <is>
          <t>Inclusão</t>
        </is>
      </c>
      <c r="H99" t="inlineStr">
        <is>
          <t>{"Data":{"$d":"2026-09-29T15:00:00.000Z"},"Severidade":"Info","Aba":"Config","Célula/linha":"A2:A3","Problema":"Título e ajuda da aba trocados pelos da 4.0 (sem nomes de cliente nem textos da 3.0).","Correção":"Reescritos.","Estado":"Corrigido","Código":"title_help","Valor anterior":"Projeto Breno : perfil e referências iniciais | Para mudar metas após o início, use Nova meta na tela Hoje. O histórico preserva os dias já salvos."}</t>
        </is>
      </c>
    </row>
    <row r="100">
      <c r="A100" s="46" t="n">
        <v>46294.5</v>
      </c>
      <c r="B100" t="inlineStr">
        <is>
          <t>mumsz1c090e2</t>
        </is>
      </c>
      <c r="C100" t="inlineStr">
        <is>
          <t>Migrar 3.0 → 4.0</t>
        </is>
      </c>
      <c r="D100" t="inlineStr">
        <is>
          <t>Auditoria</t>
        </is>
      </c>
      <c r="E100" t="n">
        <v>14</v>
      </c>
      <c r="F100" t="inlineStr">
        <is>
          <t>Inclusão</t>
        </is>
      </c>
      <c r="H100" t="inlineStr">
        <is>
          <t>{"Data":{"$d":"2026-09-29T15:00:00.000Z"},"Severidade":"Info","Aba":"Config","Célula/linha":"linha 6","Problema":"Linha do perfil 3.0: Nome.","Correção":"Virou client.name = Breno (da configuração do cliente).","Estado":"Corrigido","Código":"profile_archived","Valor anterior":"Nome | Breno | Informado no chat"}</t>
        </is>
      </c>
    </row>
    <row r="101">
      <c r="A101" s="46" t="n">
        <v>46294.5</v>
      </c>
      <c r="B101" t="inlineStr">
        <is>
          <t>mumsz1c090e2</t>
        </is>
      </c>
      <c r="C101" t="inlineStr">
        <is>
          <t>Migrar 3.0 → 4.0</t>
        </is>
      </c>
      <c r="D101" t="inlineStr">
        <is>
          <t>Auditoria</t>
        </is>
      </c>
      <c r="E101" t="n">
        <v>15</v>
      </c>
      <c r="F101" t="inlineStr">
        <is>
          <t>Inclusão</t>
        </is>
      </c>
      <c r="H101" t="inlineStr">
        <is>
          <t>{"Data":{"$d":"2026-09-29T15:00:00.000Z"},"Severidade":"Info","Aba":"Config","Célula/linha":"linha 7","Problema":"Linha do perfil 3.0: Idade.","Correção":"Virou client.age = 24 (da configuração do cliente).","Estado":"Corrigido","Código":"profile_archived","Valor anterior":"Idade | 24 | anos | 24 no cadastro; confirmar quando oportuno."}</t>
        </is>
      </c>
    </row>
    <row r="102">
      <c r="A102" s="46" t="n">
        <v>46294.5</v>
      </c>
      <c r="B102" t="inlineStr">
        <is>
          <t>mumsz1c090e2</t>
        </is>
      </c>
      <c r="C102" t="inlineStr">
        <is>
          <t>Migrar 3.0 → 4.0</t>
        </is>
      </c>
      <c r="D102" t="inlineStr">
        <is>
          <t>Auditoria</t>
        </is>
      </c>
      <c r="E102" t="n">
        <v>16</v>
      </c>
      <c r="F102" t="inlineStr">
        <is>
          <t>Inclusão</t>
        </is>
      </c>
      <c r="H102" t="inlineStr">
        <is>
          <t>{"Data":{"$d":"2026-09-29T15:00:00.000Z"},"Severidade":"Info","Aba":"Config","Célula/linha":"linha 8","Problema":"Linha do perfil 3.0: Altura.","Correção":"Virou client.heightCm = 179 (da configuração do cliente; convertido para cm).","Estado":"Corrigido","Código":"profile_archived","Valor anterior":"Altura | 1.79 | m | Informado"}</t>
        </is>
      </c>
    </row>
    <row r="103">
      <c r="A103" s="46" t="n">
        <v>46294.5</v>
      </c>
      <c r="B103" t="inlineStr">
        <is>
          <t>mumsz1c090e2</t>
        </is>
      </c>
      <c r="C103" t="inlineStr">
        <is>
          <t>Migrar 3.0 → 4.0</t>
        </is>
      </c>
      <c r="D103" t="inlineStr">
        <is>
          <t>Auditoria</t>
        </is>
      </c>
      <c r="E103" t="n">
        <v>17</v>
      </c>
      <c r="F103" t="inlineStr">
        <is>
          <t>Inclusão</t>
        </is>
      </c>
      <c r="H103" t="inlineStr">
        <is>
          <t>{"Data":{"$d":"2026-09-29T15:00:00.000Z"},"Severidade":"Info","Aba":"Config","Célula/linha":"linha 9","Problema":"Linha do perfil 3.0: Peso inicial.","Correção":"Virou client.startWeightKg = 67 (da configuração do cliente).","Estado":"Corrigido","Código":"profile_archived","Valor anterior":"Peso inicial | 67 | kg | Informado; não é medição datada"}</t>
        </is>
      </c>
    </row>
    <row r="104">
      <c r="A104" s="46" t="n">
        <v>46294.5</v>
      </c>
      <c r="B104" t="inlineStr">
        <is>
          <t>mumsz1c090e2</t>
        </is>
      </c>
      <c r="C104" t="inlineStr">
        <is>
          <t>Migrar 3.0 → 4.0</t>
        </is>
      </c>
      <c r="D104" t="inlineStr">
        <is>
          <t>Auditoria</t>
        </is>
      </c>
      <c r="E104" t="n">
        <v>18</v>
      </c>
      <c r="F104" t="inlineStr">
        <is>
          <t>Inclusão</t>
        </is>
      </c>
      <c r="H104" t="inlineStr">
        <is>
          <t>{"Data":{"$d":"2026-09-29T15:00:00.000Z"},"Severidade":"Info","Aba":"Config","Célula/linha":"linha 10","Problema":"Linha do perfil 3.0: Início do acompanhamento.","Correção":"Virou client.startDate = 21/09/2026 (da configuração do cliente).","Estado":"Corrigido","Código":"profile_archived","Valor anterior":"Início do acompanhamento | 21/09/2026 | data | Data do primeiro registro. O histórico usa datas reais."}</t>
        </is>
      </c>
    </row>
    <row r="105">
      <c r="A105" s="46" t="n">
        <v>46294.5</v>
      </c>
      <c r="B105" t="inlineStr">
        <is>
          <t>mumsz1c090e2</t>
        </is>
      </c>
      <c r="C105" t="inlineStr">
        <is>
          <t>Migrar 3.0 → 4.0</t>
        </is>
      </c>
      <c r="D105" t="inlineStr">
        <is>
          <t>Auditoria</t>
        </is>
      </c>
      <c r="E105" t="n">
        <v>19</v>
      </c>
      <c r="F105" t="inlineStr">
        <is>
          <t>Inclusão</t>
        </is>
      </c>
      <c r="H105" t="inlineStr">
        <is>
          <t>{"Data":{"$d":"2026-09-29T15:00:00.000Z"},"Severidade":"Info","Aba":"Config","Célula/linha":"linha 11","Problema":"Linha do perfil 3.0: Meta de musculação.","Correção":"Virou routine.strengthPerWeek = 3 (da configuração do cliente).","Estado":"Corrigido","Código":"profile_archived","Valor anterior":"Meta de musculação | 3 | sessões/semana | Ajustar se a recuperação exigir"}</t>
        </is>
      </c>
    </row>
    <row r="106">
      <c r="A106" s="46" t="n">
        <v>46294.5</v>
      </c>
      <c r="B106" t="inlineStr">
        <is>
          <t>mumsz1c090e2</t>
        </is>
      </c>
      <c r="C106" t="inlineStr">
        <is>
          <t>Migrar 3.0 → 4.0</t>
        </is>
      </c>
      <c r="D106" t="inlineStr">
        <is>
          <t>Auditoria</t>
        </is>
      </c>
      <c r="E106" t="n">
        <v>20</v>
      </c>
      <c r="F106" t="inlineStr">
        <is>
          <t>Inclusão</t>
        </is>
      </c>
      <c r="H106" t="inlineStr">
        <is>
          <t>{"Data":{"$d":"2026-09-29T15:00:00.000Z"},"Severidade":"Info","Aba":"Config","Célula/linha":"linha 12","Problema":"Linha do perfil 3.0: Muay Thai.","Correção":"Arquivado aqui; fatos do perfil ficam em client.notes.","Estado":"Corrigido","Código":"profile_archived","Valor anterior":"Muay Thai | 2 | sessões/semana | Dias exatos a confirmar"}</t>
        </is>
      </c>
    </row>
    <row r="107">
      <c r="A107" s="46" t="n">
        <v>46294.5</v>
      </c>
      <c r="B107" t="inlineStr">
        <is>
          <t>mumsz1c090e2</t>
        </is>
      </c>
      <c r="C107" t="inlineStr">
        <is>
          <t>Migrar 3.0 → 4.0</t>
        </is>
      </c>
      <c r="D107" t="inlineStr">
        <is>
          <t>Auditoria</t>
        </is>
      </c>
      <c r="E107" t="n">
        <v>21</v>
      </c>
      <c r="F107" t="inlineStr">
        <is>
          <t>Inclusão</t>
        </is>
      </c>
      <c r="H107" t="inlineStr">
        <is>
          <t>{"Data":{"$d":"2026-09-29T15:00:00.000Z"},"Severidade":"Info","Aba":"Config","Célula/linha":"linha 13","Problema":"Linha do perfil 3.0: Cardio extra.","Correção":"Virou routine.cardioPerWeek = 0 (da configuração do cliente).","Estado":"Corrigido","Código":"profile_archived","Valor anterior":"Cardio extra | 0 | sessões/semana | Sem cardio extra inicialmente"}</t>
        </is>
      </c>
    </row>
    <row r="108">
      <c r="A108" s="46" t="n">
        <v>46294.5</v>
      </c>
      <c r="B108" t="inlineStr">
        <is>
          <t>mumsz1c090e2</t>
        </is>
      </c>
      <c r="C108" t="inlineStr">
        <is>
          <t>Migrar 3.0 → 4.0</t>
        </is>
      </c>
      <c r="D108" t="inlineStr">
        <is>
          <t>Auditoria</t>
        </is>
      </c>
      <c r="E108" t="n">
        <v>22</v>
      </c>
      <c r="F108" t="inlineStr">
        <is>
          <t>Inclusão</t>
        </is>
      </c>
      <c r="H108" t="inlineStr">
        <is>
          <t>{"Data":{"$d":"2026-09-29T15:00:00.000Z"},"Severidade":"Info","Aba":"Config","Célula/linha":"linha 14","Problema":"Linha do perfil 3.0: Proteína de referência.","Correção":"Meta: agora na aba Metas (versão em vigor).","Estado":"Corrigido","Código":"profile_archived","Valor anterior":"Proteína de referência | 140 | g/dia | Referência inicial. Metas vigentes e alterações ficam em Histórico de metas."}</t>
        </is>
      </c>
    </row>
    <row r="109">
      <c r="A109" s="46" t="n">
        <v>46294.5</v>
      </c>
      <c r="B109" t="inlineStr">
        <is>
          <t>mumsz1c090e2</t>
        </is>
      </c>
      <c r="C109" t="inlineStr">
        <is>
          <t>Migrar 3.0 → 4.0</t>
        </is>
      </c>
      <c r="D109" t="inlineStr">
        <is>
          <t>Auditoria</t>
        </is>
      </c>
      <c r="E109" t="n">
        <v>23</v>
      </c>
      <c r="F109" t="inlineStr">
        <is>
          <t>Inclusão</t>
        </is>
      </c>
      <c r="H109" t="inlineStr">
        <is>
          <t>{"Data":{"$d":"2026-09-29T15:00:00.000Z"},"Severidade":"Info","Aba":"Config","Célula/linha":"linha 15","Problema":"Linha do perfil 3.0: Proteína faixa inferior.","Correção":"Meta: agora na aba Metas (versão em vigor).","Estado":"Corrigido","Código":"profile_archived","Valor anterior":"Proteína faixa inferior | 135 | g/dia | Faixa discutida no chat"}</t>
        </is>
      </c>
    </row>
    <row r="110">
      <c r="A110" s="46" t="n">
        <v>46294.5</v>
      </c>
      <c r="B110" t="inlineStr">
        <is>
          <t>mumsz1c090e2</t>
        </is>
      </c>
      <c r="C110" t="inlineStr">
        <is>
          <t>Migrar 3.0 → 4.0</t>
        </is>
      </c>
      <c r="D110" t="inlineStr">
        <is>
          <t>Auditoria</t>
        </is>
      </c>
      <c r="E110" t="n">
        <v>24</v>
      </c>
      <c r="F110" t="inlineStr">
        <is>
          <t>Inclusão</t>
        </is>
      </c>
      <c r="H110" t="inlineStr">
        <is>
          <t>{"Data":{"$d":"2026-09-29T15:00:00.000Z"},"Severidade":"Info","Aba":"Config","Célula/linha":"linha 16","Problema":"Linha do perfil 3.0: Proteína faixa superior.","Correção":"Meta: agora na aba Metas (versão em vigor).","Estado":"Corrigido","Código":"profile_archived","Valor anterior":"Proteína faixa superior | 145 | g/dia | Faixa discutida no chat"}</t>
        </is>
      </c>
    </row>
    <row r="111">
      <c r="A111" s="46" t="n">
        <v>46294.5</v>
      </c>
      <c r="B111" t="inlineStr">
        <is>
          <t>mumsz1c090e2</t>
        </is>
      </c>
      <c r="C111" t="inlineStr">
        <is>
          <t>Migrar 3.0 → 4.0</t>
        </is>
      </c>
      <c r="D111" t="inlineStr">
        <is>
          <t>Auditoria</t>
        </is>
      </c>
      <c r="E111" t="n">
        <v>25</v>
      </c>
      <c r="F111" t="inlineStr">
        <is>
          <t>Inclusão</t>
        </is>
      </c>
      <c r="H111" t="inlineStr">
        <is>
          <t>{"Data":{"$d":"2026-09-29T15:00:00.000Z"},"Severidade":"Info","Aba":"Config","Célula/linha":"linha 17","Problema":"Linha do perfil 3.0: Energia de referência.","Correção":"Meta: agora na aba Metas (versão em vigor).","Estado":"Corrigido","Código":"profile_archived","Valor anterior":"Energia de referência | 2400 | kcal/dia | Referência inicial; novas metas devem ser criadas pelo botão Nova meta."}</t>
        </is>
      </c>
    </row>
    <row r="112">
      <c r="A112" s="46" t="n">
        <v>46294.5</v>
      </c>
      <c r="B112" t="inlineStr">
        <is>
          <t>mumsz1c090e2</t>
        </is>
      </c>
      <c r="C112" t="inlineStr">
        <is>
          <t>Migrar 3.0 → 4.0</t>
        </is>
      </c>
      <c r="D112" t="inlineStr">
        <is>
          <t>Auditoria</t>
        </is>
      </c>
      <c r="E112" t="n">
        <v>26</v>
      </c>
      <c r="F112" t="inlineStr">
        <is>
          <t>Inclusão</t>
        </is>
      </c>
      <c r="H112" t="inlineStr">
        <is>
          <t>{"Data":{"$d":"2026-09-29T15:00:00.000Z"},"Severidade":"Info","Aba":"Config","Célula/linha":"linha 18","Problema":"Linha do perfil 3.0: Gordura de referência.","Correção":"Meta: agora na aba Metas (versão em vigor).","Estado":"Corrigido","Código":"profile_archived","Valor anterior":"Gordura de referência | 65 | g/dia | Faixa discutida: 60–70 g/dia"}</t>
        </is>
      </c>
    </row>
    <row r="113">
      <c r="A113" s="46" t="n">
        <v>46294.5</v>
      </c>
      <c r="B113" t="inlineStr">
        <is>
          <t>mumsz1c090e2</t>
        </is>
      </c>
      <c r="C113" t="inlineStr">
        <is>
          <t>Migrar 3.0 → 4.0</t>
        </is>
      </c>
      <c r="D113" t="inlineStr">
        <is>
          <t>Auditoria</t>
        </is>
      </c>
      <c r="E113" t="n">
        <v>27</v>
      </c>
      <c r="F113" t="inlineStr">
        <is>
          <t>Inclusão</t>
        </is>
      </c>
      <c r="H113" t="inlineStr">
        <is>
          <t>{"Data":{"$d":"2026-09-29T15:00:00.000Z"},"Severidade":"Info","Aba":"Config","Célula/linha":"linha 19","Problema":"Linha do perfil 3.0: Carboidrato de referência.","Correção":"Arquivado aqui; fatos do perfil ficam em client.notes.","Estado":"Corrigido","Código":"profile_archived","Valor anterior":"Carboidrato de referência | '=IF(OR(B17=\"\",B18=\"\",B14=\"\"),\"\",(B17-4*B14-9*B18)/4) | g/dia | Calculado pelo saldo de energia após proteína e gordura"}</t>
        </is>
      </c>
    </row>
    <row r="114">
      <c r="A114" s="46" t="n">
        <v>46294.5</v>
      </c>
      <c r="B114" t="inlineStr">
        <is>
          <t>mumsz1c090e2</t>
        </is>
      </c>
      <c r="C114" t="inlineStr">
        <is>
          <t>Migrar 3.0 → 4.0</t>
        </is>
      </c>
      <c r="D114" t="inlineStr">
        <is>
          <t>Auditoria</t>
        </is>
      </c>
      <c r="E114" t="n">
        <v>28</v>
      </c>
      <c r="F114" t="inlineStr">
        <is>
          <t>Inclusão</t>
        </is>
      </c>
      <c r="H114" t="inlineStr">
        <is>
          <t>{"Data":{"$d":"2026-09-29T15:00:00.000Z"},"Severidade":"Info","Aba":"Config","Célula/linha":"linha 20","Problema":"Linha do perfil 3.0: Proteína / peso inicial.","Correção":"Arquivado aqui; fatos do perfil ficam em client.notes.","Estado":"Corrigido","Código":"profile_archived","Valor anterior":"Proteína / peso inicial | '=IF(OR(B9=\"\",B14=\"\"),\"\",B14/B9) | g/kg/dia | Calculado a partir da referência, sem estimar gasto"}</t>
        </is>
      </c>
    </row>
    <row r="115">
      <c r="A115" s="46" t="n">
        <v>46294.5</v>
      </c>
      <c r="B115" t="inlineStr">
        <is>
          <t>mumsz1c090e2</t>
        </is>
      </c>
      <c r="C115" t="inlineStr">
        <is>
          <t>Migrar 3.0 → 4.0</t>
        </is>
      </c>
      <c r="D115" t="inlineStr">
        <is>
          <t>Auditoria</t>
        </is>
      </c>
      <c r="E115" t="n">
        <v>29</v>
      </c>
      <c r="F115" t="inlineStr">
        <is>
          <t>Inclusão</t>
        </is>
      </c>
      <c r="H115" t="inlineStr">
        <is>
          <t>{"Data":{"$d":"2026-09-29T15:00:00.000Z"},"Severidade":"Info","Aba":"Config","Célula/linha":"linha 21","Problema":"Linha do perfil 3.0: Creatina planejada.","Correção":"Arquivado aqui; fatos do perfil ficam em client.notes.","Estado":"Corrigido","Código":"profile_archived","Valor anterior":"Creatina planejada | g/dia | Uso não confirmado no chat do Breno"}</t>
        </is>
      </c>
    </row>
    <row r="116">
      <c r="A116" s="46" t="n">
        <v>46294.5</v>
      </c>
      <c r="B116" t="inlineStr">
        <is>
          <t>mumsz1c090e2</t>
        </is>
      </c>
      <c r="C116" t="inlineStr">
        <is>
          <t>Migrar 3.0 → 4.0</t>
        </is>
      </c>
      <c r="D116" t="inlineStr">
        <is>
          <t>Auditoria</t>
        </is>
      </c>
      <c r="E116" t="n">
        <v>30</v>
      </c>
      <c r="F116" t="inlineStr">
        <is>
          <t>Inclusão</t>
        </is>
      </c>
      <c r="H116" t="inlineStr">
        <is>
          <t>{"Data":{"$d":"2026-09-29T15:00:00.000Z"},"Severidade":"Info","Aba":"Config","Célula/linha":"linha 22","Problema":"Linha do perfil 3.0: Início da creatina.","Correção":"Arquivado aqui; fatos do perfil ficam em client.notes.","Estado":"Corrigido","Código":"profile_archived","Valor anterior":"Início da creatina | data | Ajuda a interpretar mudanças de água corporal"}</t>
        </is>
      </c>
    </row>
    <row r="117">
      <c r="A117" s="46" t="n">
        <v>46294.5</v>
      </c>
      <c r="B117" t="inlineStr">
        <is>
          <t>mumsz1c090e2</t>
        </is>
      </c>
      <c r="C117" t="inlineStr">
        <is>
          <t>Migrar 3.0 → 4.0</t>
        </is>
      </c>
      <c r="D117" t="inlineStr">
        <is>
          <t>Auditoria</t>
        </is>
      </c>
      <c r="E117" t="n">
        <v>31</v>
      </c>
      <c r="F117" t="inlineStr">
        <is>
          <t>Inclusão</t>
        </is>
      </c>
      <c r="H117" t="inlineStr">
        <is>
          <t>{"Data":{"$d":"2026-09-29T15:00:00.000Z"},"Severidade":"Info","Aba":"Config","Célula/linha":"linha 23","Problema":"Linha do perfil 3.0: Saúde.","Correção":"Arquivado aqui; fatos do perfil ficam em client.notes.","Estado":"Corrigido","Código":"profile_archived","Valor anterior":"Saúde | Não informado | Relato, não avaliação clínica"}</t>
        </is>
      </c>
    </row>
    <row r="118">
      <c r="A118" s="46" t="n">
        <v>46294.5</v>
      </c>
      <c r="B118" t="inlineStr">
        <is>
          <t>mumsz1c090e2</t>
        </is>
      </c>
      <c r="C118" t="inlineStr">
        <is>
          <t>Migrar 3.0 → 4.0</t>
        </is>
      </c>
      <c r="D118" t="inlineStr">
        <is>
          <t>Auditoria</t>
        </is>
      </c>
      <c r="E118" t="n">
        <v>32</v>
      </c>
      <c r="F118" t="inlineStr">
        <is>
          <t>Inclusão</t>
        </is>
      </c>
      <c r="H118" t="inlineStr">
        <is>
          <t>{"Data":{"$d":"2026-09-29T15:00:00.000Z"},"Severidade":"Info","Aba":"Config","Célula/linha":"linha 24","Problema":"Linha do perfil 3.0: Tabagismo.","Correção":"Arquivado aqui; fatos do perfil ficam em client.notes.","Estado":"Corrigido","Código":"profile_archived","Valor anterior":"Tabagismo | Não informado | Não informado para Breno."}</t>
        </is>
      </c>
    </row>
    <row r="119">
      <c r="A119" s="46" t="n">
        <v>46294.5</v>
      </c>
      <c r="B119" t="inlineStr">
        <is>
          <t>mumsz1c090e2</t>
        </is>
      </c>
      <c r="C119" t="inlineStr">
        <is>
          <t>Migrar 3.0 → 4.0</t>
        </is>
      </c>
      <c r="D119" t="inlineStr">
        <is>
          <t>Auditoria</t>
        </is>
      </c>
      <c r="E119" t="n">
        <v>33</v>
      </c>
      <c r="F119" t="inlineStr">
        <is>
          <t>Inclusão</t>
        </is>
      </c>
      <c r="H119" t="inlineStr">
        <is>
          <t>{"Data":{"$d":"2026-09-29T15:00:00.000Z"},"Severidade":"Info","Aba":"Config","Célula/linha":"linha 25","Problema":"Linha do perfil 3.0: Rotina.","Correção":"Arquivado aqui; fatos do perfil ficam em client.notes.","Estado":"Corrigido","Código":"profile_archived","Valor anterior":"Rotina | Pouca caminhada | Rotina individual do Breno."}</t>
        </is>
      </c>
    </row>
    <row r="120">
      <c r="A120" s="46" t="n">
        <v>46294.5</v>
      </c>
      <c r="B120" t="inlineStr">
        <is>
          <t>mumsz1c090e2</t>
        </is>
      </c>
      <c r="C120" t="inlineStr">
        <is>
          <t>Migrar 3.0 → 4.0</t>
        </is>
      </c>
      <c r="D120" t="inlineStr">
        <is>
          <t>Auditoria</t>
        </is>
      </c>
      <c r="E120" t="n">
        <v>34</v>
      </c>
      <c r="F120" t="inlineStr">
        <is>
          <t>Inclusão</t>
        </is>
      </c>
      <c r="H120" t="inlineStr">
        <is>
          <t>{"Data":{"$d":"2026-09-29T15:00:00.000Z"},"Severidade":"Info","Aba":"Config","Célula/linha":"linha 26","Problema":"Linha do perfil 3.0: Objetivo.","Correção":"Objetivo: agora na aba Objetivos.","Estado":"Corrigido","Código":"profile_archived","Valor anterior":"Objetivo | Recomposição corporal | Ganhar músculo e acompanhar cintura, desempenho e recuperação"}</t>
        </is>
      </c>
    </row>
    <row r="121">
      <c r="A121" s="46" t="n">
        <v>46294.5</v>
      </c>
      <c r="B121" t="inlineStr">
        <is>
          <t>mumsz1c090e2</t>
        </is>
      </c>
      <c r="C121" t="inlineStr">
        <is>
          <t>Migrar 3.0 → 4.0</t>
        </is>
      </c>
      <c r="D121" t="inlineStr">
        <is>
          <t>Auditoria</t>
        </is>
      </c>
      <c r="E121" t="n">
        <v>35</v>
      </c>
      <c r="F121" t="inlineStr">
        <is>
          <t>Inclusão</t>
        </is>
      </c>
      <c r="H121" t="inlineStr">
        <is>
          <t>{"Data":{"$d":"2026-09-29T15:00:00.000Z"},"Severidade":"Info","Aba":"Config","Célula/linha":"linha 27","Problema":"Linha do perfil 3.0: Status da ficha.","Correção":"Status digitado retirado: o status da ficha é derivado da aba Fichas.","Estado":"Corrigido","Código":"profile_archived","Valor anterior":"Status da ficha | F002 — vigente desde 28/09/2026 | Luan revisa exercícios, séries e recuperação"}</t>
        </is>
      </c>
    </row>
    <row r="122">
      <c r="A122" s="46" t="n">
        <v>46294.5</v>
      </c>
      <c r="B122" t="inlineStr">
        <is>
          <t>mumsz1c090e2</t>
        </is>
      </c>
      <c r="C122" t="inlineStr">
        <is>
          <t>Migrar 3.0 → 4.0</t>
        </is>
      </c>
      <c r="D122" t="inlineStr">
        <is>
          <t>Auditoria</t>
        </is>
      </c>
      <c r="E122" t="n">
        <v>36</v>
      </c>
      <c r="F122" t="inlineStr">
        <is>
          <t>Inclusão</t>
        </is>
      </c>
      <c r="H122" t="inlineStr">
        <is>
          <t>{"Data":{"$d":"2026-09-29T15:00:00.000Z"},"Severidade":"Info","Aba":"Config","Célula/linha":"linha 28","Problema":"Linha do perfil 3.0: Revisor.","Correção":"Virou client.reviewer = Luan (da configuração do cliente).","Estado":"Corrigido","Código":"profile_archived","Valor anterior":"Revisor | Luan | Preencher data de revisão na aba Revisões"}</t>
        </is>
      </c>
    </row>
    <row r="123">
      <c r="A123" s="46" t="n">
        <v>46294.5</v>
      </c>
      <c r="B123" t="inlineStr">
        <is>
          <t>mumsz1c090e2</t>
        </is>
      </c>
      <c r="C123" t="inlineStr">
        <is>
          <t>Migrar 3.0 → 4.0</t>
        </is>
      </c>
      <c r="D123" t="inlineStr">
        <is>
          <t>Auditoria</t>
        </is>
      </c>
      <c r="E123" t="n">
        <v>37</v>
      </c>
      <c r="F123" t="inlineStr">
        <is>
          <t>Inclusão</t>
        </is>
      </c>
      <c r="H123" t="inlineStr">
        <is>
          <t>{"Data":{"$d":"2026-09-29T15:00:00.000Z"},"Severidade":"Info","Aba":"Config","Célula/linha":"linha 29","Problema":"Linha do perfil 3.0: Versão.","Correção":"Texto de versão da 3.0 retirado (a versão fica em system.schemaVersion).","Estado":"Corrigido","Código":"profile_archived","Valor anterior":"Versão | 3.0 — Google Sheets / work sets | Criada em 15/09/2026"}</t>
        </is>
      </c>
    </row>
    <row r="124">
      <c r="A124" s="46" t="n">
        <v>46294.5</v>
      </c>
      <c r="B124" t="inlineStr">
        <is>
          <t>mumsz1c090e2</t>
        </is>
      </c>
      <c r="C124" t="inlineStr">
        <is>
          <t>Migrar 3.0 → 4.0</t>
        </is>
      </c>
      <c r="D124" t="inlineStr">
        <is>
          <t>Auditoria</t>
        </is>
      </c>
      <c r="E124" t="n">
        <v>38</v>
      </c>
      <c r="F124" t="inlineStr">
        <is>
          <t>Inclusão</t>
        </is>
      </c>
      <c r="H124" t="inlineStr">
        <is>
          <t>{"Data":{"$d":"2026-09-29T15:00:00.000Z"},"Severidade":"Info","Aba":"Config","Célula/linha":"linha 30","Problema":"Linha do perfil 3.0: Semanas disponíveis.","Correção":"Arquivado aqui; fatos do perfil ficam em client.notes.","Estado":"Corrigido","Código":"profile_archived","Valor anterior":"Semanas disponíveis | Expansível | semanas | Tabelas crescem ao salvar. Cadastros: use Tab na última célula da tabela."}</t>
        </is>
      </c>
    </row>
    <row r="125">
      <c r="A125" s="46" t="n">
        <v>46294.5</v>
      </c>
      <c r="B125" t="inlineStr">
        <is>
          <t>mumsz1c090e2</t>
        </is>
      </c>
      <c r="C125" t="inlineStr">
        <is>
          <t>Migrar 3.0 → 4.0</t>
        </is>
      </c>
      <c r="D125" t="inlineStr">
        <is>
          <t>Auditoria</t>
        </is>
      </c>
      <c r="E125" t="n">
        <v>39</v>
      </c>
      <c r="F125" t="inlineStr">
        <is>
          <t>Inclusão</t>
        </is>
      </c>
      <c r="H125" t="inlineStr">
        <is>
          <t>{"Data":{"$d":"2026-09-29T15:00:00.000Z"},"Severidade":"Info","Aba":"Config","Célula/linha":"linha 33","Problema":"Linha do perfil 3.0: Total da dieta base.","Correção":"Arquivado aqui; fatos do perfil ficam em client.notes.","Estado":"Corrigido","Código":"profile_archived","Valor anterior":"Total da dieta base | Calculado | Unidade | Leitura"}</t>
        </is>
      </c>
    </row>
    <row r="126">
      <c r="A126" s="46" t="n">
        <v>46294.5</v>
      </c>
      <c r="B126" t="inlineStr">
        <is>
          <t>mumsz1c090e2</t>
        </is>
      </c>
      <c r="C126" t="inlineStr">
        <is>
          <t>Migrar 3.0 → 4.0</t>
        </is>
      </c>
      <c r="D126" t="inlineStr">
        <is>
          <t>Auditoria</t>
        </is>
      </c>
      <c r="E126" t="n">
        <v>40</v>
      </c>
      <c r="F126" t="inlineStr">
        <is>
          <t>Inclusão</t>
        </is>
      </c>
      <c r="H126" t="inlineStr">
        <is>
          <t>{"Data":{"$d":"2026-09-29T15:00:00.000Z"},"Severidade":"Info","Aba":"Config","Célula/linha":"linha 34","Problema":"Linha do perfil 3.0: Energia proposta.","Correção":"Arquivado aqui; fatos do perfil ficam em client.notes.","Estado":"Corrigido","Código":"profile_archived","Valor anterior":"Energia proposta | '='Dieta base'!E31 | kcal | Comparar com referência inicial de 2.400 kcal."}</t>
        </is>
      </c>
    </row>
    <row r="127">
      <c r="A127" s="46" t="n">
        <v>46294.5</v>
      </c>
      <c r="B127" t="inlineStr">
        <is>
          <t>mumsz1c090e2</t>
        </is>
      </c>
      <c r="C127" t="inlineStr">
        <is>
          <t>Migrar 3.0 → 4.0</t>
        </is>
      </c>
      <c r="D127" t="inlineStr">
        <is>
          <t>Auditoria</t>
        </is>
      </c>
      <c r="E127" t="n">
        <v>41</v>
      </c>
      <c r="F127" t="inlineStr">
        <is>
          <t>Inclusão</t>
        </is>
      </c>
      <c r="H127" t="inlineStr">
        <is>
          <t>{"Data":{"$d":"2026-09-29T15:00:00.000Z"},"Severidade":"Info","Aba":"Config","Célula/linha":"linha 35","Problema":"Linha do perfil 3.0: Proteína proposta.","Correção":"Arquivado aqui; fatos do perfil ficam em client.notes.","Estado":"Corrigido","Código":"profile_archived","Valor anterior":"Proteína proposta | '='Dieta base'!F31 | g"}</t>
        </is>
      </c>
    </row>
    <row r="128">
      <c r="A128" s="46" t="n">
        <v>46294.5</v>
      </c>
      <c r="B128" t="inlineStr">
        <is>
          <t>mumsz1c090e2</t>
        </is>
      </c>
      <c r="C128" t="inlineStr">
        <is>
          <t>Migrar 3.0 → 4.0</t>
        </is>
      </c>
      <c r="D128" t="inlineStr">
        <is>
          <t>Auditoria</t>
        </is>
      </c>
      <c r="E128" t="n">
        <v>42</v>
      </c>
      <c r="F128" t="inlineStr">
        <is>
          <t>Inclusão</t>
        </is>
      </c>
      <c r="H128" t="inlineStr">
        <is>
          <t>{"Data":{"$d":"2026-09-29T15:00:00.000Z"},"Severidade":"Info","Aba":"Config","Célula/linha":"linha 36","Problema":"Linha do perfil 3.0: Carboidrato proposto.","Correção":"Arquivado aqui; fatos do perfil ficam em client.notes.","Estado":"Corrigido","Código":"profile_archived","Valor anterior":"Carboidrato proposto | '='Dieta base'!G31 | g"}</t>
        </is>
      </c>
    </row>
    <row r="129">
      <c r="A129" s="46" t="n">
        <v>46294.5</v>
      </c>
      <c r="B129" t="inlineStr">
        <is>
          <t>mumsz1c090e2</t>
        </is>
      </c>
      <c r="C129" t="inlineStr">
        <is>
          <t>Migrar 3.0 → 4.0</t>
        </is>
      </c>
      <c r="D129" t="inlineStr">
        <is>
          <t>Auditoria</t>
        </is>
      </c>
      <c r="E129" t="n">
        <v>43</v>
      </c>
      <c r="F129" t="inlineStr">
        <is>
          <t>Inclusão</t>
        </is>
      </c>
      <c r="H129" t="inlineStr">
        <is>
          <t>{"Data":{"$d":"2026-09-29T15:00:00.000Z"},"Severidade":"Info","Aba":"Config","Célula/linha":"linha 37","Problema":"Linha do perfil 3.0: Gordura proposta.","Correção":"Arquivado aqui; fatos do perfil ficam em client.notes.","Estado":"Corrigido","Código":"profile_archived","Valor anterior":"Gordura proposta | '='Dieta base'!H31 | g"}</t>
        </is>
      </c>
    </row>
    <row r="130">
      <c r="A130" s="46" t="n">
        <v>46294.5</v>
      </c>
      <c r="B130" t="inlineStr">
        <is>
          <t>mumsz1c090e2</t>
        </is>
      </c>
      <c r="C130" t="inlineStr">
        <is>
          <t>Migrar 3.0 → 4.0</t>
        </is>
      </c>
      <c r="D130" t="inlineStr">
        <is>
          <t>Auditoria</t>
        </is>
      </c>
      <c r="E130" t="n">
        <v>44</v>
      </c>
      <c r="F130" t="inlineStr">
        <is>
          <t>Inclusão</t>
        </is>
      </c>
      <c r="H130" t="inlineStr">
        <is>
          <t>{"Data":{"$d":"2026-09-29T15:00:00.000Z"},"Severidade":"Info","Aba":"Config","Célula/linha":"linha 38","Problema":"Linha do perfil 3.0: Fibra proposta.","Correção":"Arquivado aqui; fatos do perfil ficam em client.notes.","Estado":"Corrigido","Código":"profile_archived","Valor anterior":"Fibra proposta | '='Dieta base'!I31 | g | Aumentar fibras gradualmente conforme tolerância digestiva."}</t>
        </is>
      </c>
    </row>
    <row r="131">
      <c r="A131" s="46" t="n">
        <v>46294.5</v>
      </c>
      <c r="B131" t="inlineStr">
        <is>
          <t>mumsz1c090e2</t>
        </is>
      </c>
      <c r="C131" t="inlineStr">
        <is>
          <t>Migrar 3.0 → 4.0</t>
        </is>
      </c>
      <c r="D131" t="inlineStr">
        <is>
          <t>Auditoria</t>
        </is>
      </c>
      <c r="E131" t="n">
        <v>45</v>
      </c>
      <c r="F131" t="inlineStr">
        <is>
          <t>Inclusão</t>
        </is>
      </c>
      <c r="H131" t="inlineStr">
        <is>
          <t>{"Data":{"$d":"2026-09-29T15:00:00.000Z"},"Severidade":"Info","Aba":"Config","Célula/linha":"linha 5+","Problema":"Config 4.0 escrita: 19 valores da configuração do cliente, 0 do perfil 3.0, demais padrão.","Correção":"Perfil 3.0 arquivado nas linhas acima desta auditoria.","Estado":"Corrigido","Código":"config_rebuilt","Valor anterior":""}</t>
        </is>
      </c>
    </row>
    <row r="132">
      <c r="A132" s="46" t="n">
        <v>46294.5</v>
      </c>
      <c r="B132" t="inlineStr">
        <is>
          <t>mumsz1c090e2</t>
        </is>
      </c>
      <c r="C132" t="inlineStr">
        <is>
          <t>Migrar 3.0 → 4.0</t>
        </is>
      </c>
      <c r="D132" t="inlineStr">
        <is>
          <t>Auditoria</t>
        </is>
      </c>
      <c r="E132" t="n">
        <v>46</v>
      </c>
      <c r="F132" t="inlineStr">
        <is>
          <t>Inclusão</t>
        </is>
      </c>
      <c r="H132" t="inlineStr">
        <is>
          <t>{"Data":{"$d":"2026-09-29T15:00:00.000Z"},"Severidade":"Info","Aba":"Progressão","Célula/linha":"A2:A3","Problema":"Título e ajuda da aba trocados pelos da 4.0 (sem nomes de cliente nem textos da 3.0).","Correção":"Reescritos.","Estado":"Corrigido","Código":"title_help","Valor anterior":""}</t>
        </is>
      </c>
    </row>
    <row r="133">
      <c r="A133" s="46" t="n">
        <v>46294.5</v>
      </c>
      <c r="B133" t="inlineStr">
        <is>
          <t>mumsz1c090e2</t>
        </is>
      </c>
      <c r="C133" t="inlineStr">
        <is>
          <t>Migrar 3.0 → 4.0</t>
        </is>
      </c>
      <c r="D133" t="inlineStr">
        <is>
          <t>Auditoria</t>
        </is>
      </c>
      <c r="E133" t="n">
        <v>47</v>
      </c>
      <c r="F133" t="inlineStr">
        <is>
          <t>Inclusão</t>
        </is>
      </c>
      <c r="H133" t="inlineStr">
        <is>
          <t>{"Data":{"$d":"2026-09-29T15:00:00.000Z"},"Severidade":"Info","Aba":"Progressão","Célula/linha":"linha 7","Problema":"Conteúdo da 3.0 sem lugar na aba 4.0 (gerada pelo script) arquivado aqui.","Correção":"Texto citado nesta linha; células limpas.","Estado":"Corrigido","Código":"layout_archived","Valor anterior":"Compare apenas work sets do mesmo exercício e critério de carga. Atualize pelo menu Projeto."}</t>
        </is>
      </c>
    </row>
    <row r="134">
      <c r="A134" s="46" t="n">
        <v>46294.5</v>
      </c>
      <c r="B134" t="inlineStr">
        <is>
          <t>mumsz1c090e2</t>
        </is>
      </c>
      <c r="C134" t="inlineStr">
        <is>
          <t>Migrar 3.0 → 4.0</t>
        </is>
      </c>
      <c r="D134" t="inlineStr">
        <is>
          <t>Auditoria</t>
        </is>
      </c>
      <c r="E134" t="n">
        <v>48</v>
      </c>
      <c r="F134" t="inlineStr">
        <is>
          <t>Inclusão</t>
        </is>
      </c>
      <c r="H134" t="inlineStr">
        <is>
          <t>{"Data":{"$d":"2026-09-29T15:00:00.000Z"},"Severidade":"Info","Aba":"Progressão","Célula/linha":"linha 9","Problema":"Conteúdo da 3.0 sem lugar na aba 4.0 (gerada pelo script) arquivado aqui.","Correção":"Texto citado nesta linha; células limpas.","Estado":"Corrigido","Código":"layout_archived","Valor anterior":"Data | Ficha | Exercício | Work 1 kg | Work 1 reps | Work 2 kg | Work 2 reps | Volume work | Work sets | RIR work 1 | RIR work 2 | Sessão | Estado | Leitura"}</t>
        </is>
      </c>
    </row>
    <row r="135">
      <c r="A135" s="46" t="n">
        <v>46294.5</v>
      </c>
      <c r="B135" t="inlineStr">
        <is>
          <t>mumsz1c090e2</t>
        </is>
      </c>
      <c r="C135" t="inlineStr">
        <is>
          <t>Migrar 3.0 → 4.0</t>
        </is>
      </c>
      <c r="D135" t="inlineStr">
        <is>
          <t>Auditoria</t>
        </is>
      </c>
      <c r="E135" t="n">
        <v>49</v>
      </c>
      <c r="F135" t="inlineStr">
        <is>
          <t>Inclusão</t>
        </is>
      </c>
      <c r="H135" t="inlineStr">
        <is>
          <t>{"Data":{"$d":"2026-09-29T15:00:00.000Z"},"Severidade":"Info","Aba":"Progressão","Célula/linha":"linha 33","Problema":"Conteúdo da 3.0 sem lugar na aba 4.0 (gerada pelo script) arquivado aqui.","Correção":"Texto citado nesta linha; células limpas.","Estado":"Corrigido","Código":"layout_archived","Valor anterior":"Compare mesmo equipamento, amplitude e RIR. O volume é carga × repetições, não uma medida isolada de progresso."}</t>
        </is>
      </c>
    </row>
    <row r="136">
      <c r="A136" s="46" t="n">
        <v>46294.5</v>
      </c>
      <c r="B136" t="inlineStr">
        <is>
          <t>mumsz1c090e2</t>
        </is>
      </c>
      <c r="C136" t="inlineStr">
        <is>
          <t>Migrar 3.0 → 4.0</t>
        </is>
      </c>
      <c r="D136" t="inlineStr">
        <is>
          <t>Auditoria</t>
        </is>
      </c>
      <c r="E136" t="n">
        <v>50</v>
      </c>
      <c r="F136" t="inlineStr">
        <is>
          <t>Inclusão</t>
        </is>
      </c>
      <c r="H136" t="inlineStr">
        <is>
          <t>{"Data":{"$d":"2026-09-29T15:00:00.000Z"},"Severidade":"Info","Aba":"Progressão","Célula/linha":"linha 5","Problema":"Cabeçalho refeito na ordem da 4.0 (aba gerada pelo script).","Correção":"Colunas: Exercício, Grupo, Sessão, Última sessão, Último work, RIR, Tendência, Sugestão, Ficha.","Estado":"Corrigido","Código":"header_rebuilt","Valor anterior":"Exercício"}</t>
        </is>
      </c>
    </row>
    <row r="137">
      <c r="A137" s="46" t="n">
        <v>46294.5</v>
      </c>
      <c r="B137" t="inlineStr">
        <is>
          <t>mumsz1c090e2</t>
        </is>
      </c>
      <c r="C137" t="inlineStr">
        <is>
          <t>Migrar 3.0 → 4.0</t>
        </is>
      </c>
      <c r="D137" t="inlineStr">
        <is>
          <t>Auditoria</t>
        </is>
      </c>
      <c r="E137" t="n">
        <v>51</v>
      </c>
      <c r="F137" t="inlineStr">
        <is>
          <t>Inclusão</t>
        </is>
      </c>
      <c r="H137" t="inlineStr">
        <is>
          <t>{"Data":{"$d":"2026-09-29T15:00:00.000Z"},"Severidade":"Info","Aba":"Dieta base","Célula/linha":"A2:A3","Problema":"Título e ajuda da aba trocados pelos da 4.0 (sem nomes de cliente nem textos da 3.0).","Correção":"Reescritos.","Estado":"Corrigido","Código":"title_help","Valor anterior":"Base do chat ajustada nas porções para aproximar 2.400 kcal e a meta proteica. Ver alterações em Revisões."}</t>
        </is>
      </c>
    </row>
    <row r="138">
      <c r="A138" s="46" t="n">
        <v>46294.5</v>
      </c>
      <c r="B138" t="inlineStr">
        <is>
          <t>mumsz1c090e2</t>
        </is>
      </c>
      <c r="C138" t="inlineStr">
        <is>
          <t>Migrar 3.0 → 4.0</t>
        </is>
      </c>
      <c r="D138" t="inlineStr">
        <is>
          <t>Auditoria</t>
        </is>
      </c>
      <c r="E138" t="n">
        <v>52</v>
      </c>
      <c r="F138" t="inlineStr">
        <is>
          <t>Inclusão</t>
        </is>
      </c>
      <c r="H138" t="inlineStr">
        <is>
          <t>{"Data":{"$d":"2026-09-29T15:00:00.000Z"},"Severidade":"Info","Aba":"Ficha de treino","Célula/linha":"A2:A3","Problema":"Título e ajuda da aba trocados pelos da 4.0 (sem nomes de cliente nem textos da 3.0).","Correção":"Reescritos.","Estado":"Corrigido","Código":"title_help","Valor anterior":"Projeto Breno — ficha vigente F002 | Aquecimento e feeder ficam separados. Apenas as duas work sets entram no volume e na progressão."}</t>
        </is>
      </c>
    </row>
    <row r="139">
      <c r="A139" s="46" t="n">
        <v>46294.5</v>
      </c>
      <c r="B139" t="inlineStr">
        <is>
          <t>mumsz1c090e2</t>
        </is>
      </c>
      <c r="C139" t="inlineStr">
        <is>
          <t>Migrar 3.0 → 4.0</t>
        </is>
      </c>
      <c r="D139" t="inlineStr">
        <is>
          <t>Auditoria</t>
        </is>
      </c>
      <c r="E139" t="n">
        <v>53</v>
      </c>
      <c r="F139" t="inlineStr">
        <is>
          <t>Inclusão</t>
        </is>
      </c>
      <c r="H139" t="inlineStr">
        <is>
          <t>{"Data":{"$d":"2026-09-29T15:00:00.000Z"},"Severidade":"Info","Aba":"Medidas e fotos","Célula/linha":"A2:A3","Problema":"Título e ajuda da aba trocados pelos da 4.0 (sem nomes de cliente nem textos da 3.0).","Correção":"Reescritos.","Estado":"Corrigido","Código":"title_help","Valor anterior":"Cintura semanal. Outras medidas e fotos a cada 4 semanas. Mesma luz, distância e postura relaxada; fotos não medem BF com precisão."}</t>
        </is>
      </c>
    </row>
    <row r="140">
      <c r="A140" s="46" t="n">
        <v>46294.5</v>
      </c>
      <c r="B140" t="inlineStr">
        <is>
          <t>mumsz1c090e2</t>
        </is>
      </c>
      <c r="C140" t="inlineStr">
        <is>
          <t>Migrar 3.0 → 4.0</t>
        </is>
      </c>
      <c r="D140" t="inlineStr">
        <is>
          <t>Auditoria</t>
        </is>
      </c>
      <c r="E140" t="n">
        <v>54</v>
      </c>
      <c r="F140" t="inlineStr">
        <is>
          <t>Inclusão</t>
        </is>
      </c>
      <c r="H140" t="inlineStr">
        <is>
          <t>{"Data":{"$d":"2026-09-29T15:00:00.000Z"},"Severidade":"Info","Aba":"Medidas e fotos","Célula/linha":"linha 5","Problema":"Aba sem dados: cabeçalho refeito na ordem da 4.0.","Correção":"Colunas: Data, Cintura umbigo cm, Quadril cm, Peito cm, Braço direito cm, Coxa direita cm, Frente: link, Lado: link, Costas: link, Condições / observações, Objetivo.","Estado":"Corrigido","Código":"header_rebuilt","Valor anterior":"Data | Cintura umbigo cm | Quadril cm | Peito cm | Braço direito cm | Coxa direita cm | Frente: link | Lado: link | Costas: link | Condições / observações"}</t>
        </is>
      </c>
    </row>
    <row r="141">
      <c r="A141" s="46" t="n">
        <v>46294.5</v>
      </c>
      <c r="B141" t="inlineStr">
        <is>
          <t>mumsz1c090e2</t>
        </is>
      </c>
      <c r="C141" t="inlineStr">
        <is>
          <t>Migrar 3.0 → 4.0</t>
        </is>
      </c>
      <c r="D141" t="inlineStr">
        <is>
          <t>Auditoria</t>
        </is>
      </c>
      <c r="E141" t="n">
        <v>55</v>
      </c>
      <c r="F141" t="inlineStr">
        <is>
          <t>Inclusão</t>
        </is>
      </c>
      <c r="H141" t="inlineStr">
        <is>
          <t>{"Data":{"$d":"2026-09-29T15:00:00.000Z"},"Severidade":"Info","Aba":"Semanas","Célula/linha":"A2:A3","Problema":"Título e ajuda da aba trocados pelos da 4.0 (sem nomes de cliente nem textos da 3.0).","Correção":"Reescritos.","Estado":"Corrigido","Código":"title_help","Valor anterior":""}</t>
        </is>
      </c>
    </row>
    <row r="142">
      <c r="A142" s="46" t="n">
        <v>46294.5</v>
      </c>
      <c r="B142" t="inlineStr">
        <is>
          <t>mumsz1c090e2</t>
        </is>
      </c>
      <c r="C142" t="inlineStr">
        <is>
          <t>Migrar 3.0 → 4.0</t>
        </is>
      </c>
      <c r="D142" t="inlineStr">
        <is>
          <t>Auditoria</t>
        </is>
      </c>
      <c r="E142" t="n">
        <v>56</v>
      </c>
      <c r="F142" t="inlineStr">
        <is>
          <t>Inclusão</t>
        </is>
      </c>
      <c r="H142" t="inlineStr">
        <is>
          <t>{"Data":{"$d":"2026-09-29T15:00:00.000Z"},"Severidade":"Info","Aba":"Semanas","Célula/linha":"linhas 6+","Problema":"21 fórmulas por linha removidas; na 4.0 o script grava os valores (sem intervalos fixos).","Correção":"Valores calculados mantidos; fórmulas retiradas.","Estado":"Corrigido","Código":"formulas_removed","Valor anterior":"'=IF(A6=\"\",\"\",A6+6)"}</t>
        </is>
      </c>
    </row>
    <row r="143">
      <c r="A143" s="46" t="n">
        <v>46294.5</v>
      </c>
      <c r="B143" t="inlineStr">
        <is>
          <t>mumsz1c090e2</t>
        </is>
      </c>
      <c r="C143" t="inlineStr">
        <is>
          <t>Migrar 3.0 → 4.0</t>
        </is>
      </c>
      <c r="D143" t="inlineStr">
        <is>
          <t>Auditoria</t>
        </is>
      </c>
      <c r="E143" t="n">
        <v>57</v>
      </c>
      <c r="F143" t="inlineStr">
        <is>
          <t>Inclusão</t>
        </is>
      </c>
      <c r="H143" t="inlineStr">
        <is>
          <t>{"Data":{"$d":"2026-09-29T15:00:00.000Z"},"Severidade":"Info","Aba":"Semanas","Célula/linha":"linha 5","Problema":"Aba sem dados: cabeçalho refeito na ordem da 4.0.","Correção":"Colunas: Início, Fim, Objetivo, Meta, Ficha, Transição na semana, Pesagens, Peso médio 7d, Variação kg, Variação %/sem, Cintura, Variação cintura, Dias com registro, Dias completos, kcal média, Proteína média, Carboidrato médio, Gordura média, Fibra média, Aderência kcal, Aderência proteína, Aderência gordura, Cobertura alimentar, Itens sem cálculo, Treinos, Meta treinos, Volume work, Exercícios com progressão, Sono médio, Fome média, Cansaço médio, Dor máx, Passos médios, Cardio min, Atividades, Suficiência de dados, Situação, Sinais, Motivos, Recomendação, Motivo da recomendação, Próxima revisão, Calculado em.","Estado":"Corrigido","Código":"header_rebuilt","Valor anterior":"Início | Fim | Pesagens | Peso médio | Variação kg | Cintura | kcal média | Proteína média | Gordura média | Dias completos | Aderência kcal | Aderência proteína | Treinos | Meta treinos | Passos médios | Cardio min | Sono médio | Muay Thai | Situação | Dias com registro | Itens sem cálculo | Cobertura alimentar"}</t>
        </is>
      </c>
    </row>
    <row r="144">
      <c r="A144" s="46" t="n">
        <v>46294.5</v>
      </c>
      <c r="B144" t="inlineStr">
        <is>
          <t>mumsz1c090e2</t>
        </is>
      </c>
      <c r="C144" t="inlineStr">
        <is>
          <t>Migrar 3.0 → 4.0</t>
        </is>
      </c>
      <c r="D144" t="inlineStr">
        <is>
          <t>Auditoria</t>
        </is>
      </c>
      <c r="E144" t="n">
        <v>58</v>
      </c>
      <c r="F144" t="inlineStr">
        <is>
          <t>Inclusão</t>
        </is>
      </c>
      <c r="H144" t="inlineStr">
        <is>
          <t>{"Data":{"$d":"2026-09-29T15:00:00.000Z"},"Severidade":"Info","Aba":"Alimentação","Célula/linha":"A2:A3","Problema":"Título e ajuda da aba trocados pelos da 4.0 (sem nomes de cliente nem textos da 3.0).","Correção":"Reescritos.","Estado":"Corrigido","Código":"title_help","Valor anterior":"Consumo confirmado por você. Quantidades na unidade-base; conversão original nas observações. Sem cálculo = macros desconhecidos, nunca zero."}</t>
        </is>
      </c>
    </row>
    <row r="145">
      <c r="A145" s="46" t="n">
        <v>46294.5</v>
      </c>
      <c r="B145" t="inlineStr">
        <is>
          <t>mumsz1c090e2</t>
        </is>
      </c>
      <c r="C145" t="inlineStr">
        <is>
          <t>Migrar 3.0 → 4.0</t>
        </is>
      </c>
      <c r="D145" t="inlineStr">
        <is>
          <t>Auditoria</t>
        </is>
      </c>
      <c r="E145" t="n">
        <v>59</v>
      </c>
      <c r="F145" t="inlineStr">
        <is>
          <t>Inclusão</t>
        </is>
      </c>
      <c r="H145" t="inlineStr">
        <is>
          <t>{"Data":{"$d":"2026-09-29T15:00:00.000Z"},"Severidade":"Info","Aba":"Alimentação","Célula/linha":"linha 5","Problema":"Aba sem dados: cabeçalho refeito na ordem da 4.0.","Correção":"Colunas: Data, Refeição, Alimento, Quantidade, Unidade, kcal, Proteína g, Carboidrato g, Gordura g, Fibra g, Medição, Observação, Conferência, ID lançamento, Favorita / versão, Fonte, Cálculo.","Estado":"Corrigido","Código":"header_rebuilt","Valor anterior":"Data | Refeição | Alimento | Quantidade | Unidade | kcal | Proteína g | Carboidrato g | Gordura g | Fibra g | Medição | Observação | Conferência | ID lançamento | Favorita / versão"}</t>
        </is>
      </c>
    </row>
    <row r="146">
      <c r="A146" s="46" t="n">
        <v>46294.5</v>
      </c>
      <c r="B146" t="inlineStr">
        <is>
          <t>mumsz1c090e2</t>
        </is>
      </c>
      <c r="C146" t="inlineStr">
        <is>
          <t>Migrar 3.0 → 4.0</t>
        </is>
      </c>
      <c r="D146" t="inlineStr">
        <is>
          <t>Auditoria</t>
        </is>
      </c>
      <c r="E146" t="n">
        <v>60</v>
      </c>
      <c r="F146" t="inlineStr">
        <is>
          <t>Inclusão</t>
        </is>
      </c>
      <c r="H146" t="inlineStr">
        <is>
          <t>{"Data":{"$d":"2026-09-29T15:00:00.000Z"},"Severidade":"Info","Aba":"Registro de treino","Célula/linha":"A2:A3","Problema":"Título e ajuda da aba trocados pelos da 4.0 (sem nomes de cliente nem textos da 3.0).","Correção":"Reescritos.","Estado":"Corrigido","Código":"title_help","Valor anterior":"Histórico: aquecimento e feeder preservados; volume calculado somente com Work 1 + Work 2. Salvar parcial permite retomar."}</t>
        </is>
      </c>
    </row>
    <row r="147">
      <c r="A147" s="46" t="n">
        <v>46294.5</v>
      </c>
      <c r="B147" t="inlineStr">
        <is>
          <t>mumsz1c090e2</t>
        </is>
      </c>
      <c r="C147" t="inlineStr">
        <is>
          <t>Migrar 3.0 → 4.0</t>
        </is>
      </c>
      <c r="D147" t="inlineStr">
        <is>
          <t>Auditoria</t>
        </is>
      </c>
      <c r="E147" t="n">
        <v>61</v>
      </c>
      <c r="F147" t="inlineStr">
        <is>
          <t>Inclusão</t>
        </is>
      </c>
      <c r="H147" t="inlineStr">
        <is>
          <t>{"Data":{"$d":"2026-09-29T15:00:00.000Z"},"Severidade":"Info","Aba":"Registro de treino","Célula/linha":"linha 5","Problema":"Aba sem dados: cabeçalho refeito na ordem da 4.0.","Correção":"Colunas: Data, Sessão, Exercício, Equipamento / carga, Aquecimento kg, Aquecimento reps, Feeder kg, Feeder reps, Work 1 kg, Work 1 reps, Work 2 kg, Work 2 reps, Work sets realizadas, Volume work kg×reps, RIR work 2, Dor 0–10, Observação, Ficha, Work sets prescritas, Reps work mín, Reps work máx, Fase, ID sessão, RIR work 1, Estado sessão, Modelo de séries, Objetivo.","Estado":"Corrigido","Código":"header_rebuilt","Valor anterior":"Data | Sessão | Exercício | Equipamento / carga | Aquecimento kg | Aquecimento reps | Feeder kg | Feeder reps | Work 1 kg | Work 1 reps | Work 2 kg | Work 2 reps | Work sets realizadas | Volume work kg×reps | RIR work 2 | Dor 0–10 | Observação | Ficha | Work sets prescritas | Reps work mín | Reps work máx | Fase | ID sessão | RIR work 1 | Estado sessão | Modelo de séries"}</t>
        </is>
      </c>
    </row>
    <row r="148">
      <c r="A148" s="46" t="n">
        <v>46294.5</v>
      </c>
      <c r="B148" t="inlineStr">
        <is>
          <t>mumsz1c090e2</t>
        </is>
      </c>
      <c r="C148" t="inlineStr">
        <is>
          <t>Migrar 3.0 → 4.0</t>
        </is>
      </c>
      <c r="D148" t="inlineStr">
        <is>
          <t>Auditoria</t>
        </is>
      </c>
      <c r="E148" t="n">
        <v>62</v>
      </c>
      <c r="F148" t="inlineStr">
        <is>
          <t>Inclusão</t>
        </is>
      </c>
      <c r="H148" t="inlineStr">
        <is>
          <t>{"Data":{"$d":"2026-09-29T15:00:00.000Z"},"Severidade":"Info","Aba":"Diário","Célula/linha":"A2:A3","Problema":"Título e ajuda da aba trocados pelos da 4.0 (sem nomes de cliente nem textos da 3.0).","Correção":"Reescritos.","Estado":"Corrigido","Código":"title_help","Valor anterior":"Resumo diário e metas preservadas"}</t>
        </is>
      </c>
    </row>
    <row r="149">
      <c r="A149" s="46" t="n">
        <v>46294.5</v>
      </c>
      <c r="B149" t="inlineStr">
        <is>
          <t>mumsz1c090e2</t>
        </is>
      </c>
      <c r="C149" t="inlineStr">
        <is>
          <t>Migrar 3.0 → 4.0</t>
        </is>
      </c>
      <c r="D149" t="inlineStr">
        <is>
          <t>Auditoria</t>
        </is>
      </c>
      <c r="E149" t="n">
        <v>63</v>
      </c>
      <c r="F149" t="inlineStr">
        <is>
          <t>Inclusão</t>
        </is>
      </c>
      <c r="H149" t="inlineStr">
        <is>
          <t>{"Data":{"$d":"2026-09-29T15:00:00.000Z"},"Severidade":"Info","Aba":"Diário","Célula/linha":"linhas 6+","Problema":"12 fórmulas por linha removidas; na 4.0 o script grava os valores (sem intervalos fixos).","Correção":"Valores calculados mantidos; fórmulas retiradas.","Estado":"Corrigido","Código":"formulas_removed","Valor anterior":"'=IF(A6=\"\",\"\",IF(COUNTIFS('Alimentação'!$A$6:$A1000,A6,'Alimentação'!$F$6:$F1000,\"&gt;=0\")=0,\"\",SUMIFS('Alimentação'!$F$6:$F1000,'Alimentação'!$A$6:$A1000,A6)))"}</t>
        </is>
      </c>
    </row>
    <row r="150">
      <c r="A150" s="46" t="n">
        <v>46294.5</v>
      </c>
      <c r="B150" t="inlineStr">
        <is>
          <t>mumsz1c090e2</t>
        </is>
      </c>
      <c r="C150" t="inlineStr">
        <is>
          <t>Migrar 3.0 → 4.0</t>
        </is>
      </c>
      <c r="D150" t="inlineStr">
        <is>
          <t>Auditoria</t>
        </is>
      </c>
      <c r="E150" t="n">
        <v>64</v>
      </c>
      <c r="F150" t="inlineStr">
        <is>
          <t>Inclusão</t>
        </is>
      </c>
      <c r="H150" t="inlineStr">
        <is>
          <t>{"Data":{"$d":"2026-09-29T15:00:00.000Z"},"Severidade":"Info","Aba":"Diário","Célula/linha":"linha 5","Problema":"Aba sem dados: cabeçalho refeito na ordem da 4.0.","Correção":"Colunas: Data, Peso kg, Cintura cm, Sono h, Passos, Cardio min, Atividade min, Atividade, Fome 1–5, Cansaço 1–5, Dor 0–10, Registro alimentar, Observações, Objetivo, Meta, Ficha, kcal, Proteína g, Carboidrato g, Gordura g, Fibra g, Itens sem cálculo, Itens estimados, Treinos, Estado do dia.","Estado":"Corrigido","Código":"header_rebuilt","Valor anterior":"Data | Peso kg | Sono h | Passos | Cardio min | Muay Thai | Registro alimentar completo | Cintura cm | Fome 1–5 | Cansaço 1–5 | Observações | Meta versão | Meta kcal | Meta proteína | Meta gordura | Meta carbo | Treinos meta | P mín | P máx | Tol kcal | Tol gordura | kcal | Proteína g | Carboidrato g | Gordura g | Fibra g | Treinos | Média peso 7d | Aderência kcal | Aderência proteína | Aderência gordura | Dias peso 7d | Itens sem cálculo"}</t>
        </is>
      </c>
    </row>
    <row r="151">
      <c r="A151" s="46" t="n">
        <v>46294.5</v>
      </c>
      <c r="B151" t="inlineStr">
        <is>
          <t>mumsz1c090e2</t>
        </is>
      </c>
      <c r="C151" t="inlineStr">
        <is>
          <t>Migrar 3.0 → 4.0</t>
        </is>
      </c>
      <c r="D151" t="inlineStr">
        <is>
          <t>Auditoria</t>
        </is>
      </c>
      <c r="E151" t="n">
        <v>65</v>
      </c>
      <c r="F151" t="inlineStr">
        <is>
          <t>Inclusão</t>
        </is>
      </c>
      <c r="H151" t="inlineStr">
        <is>
          <t>{"Data":{"$d":"2026-09-29T15:00:00.000Z"},"Severidade":"Info","Aba":"Revisões","Célula/linha":"A2:A3","Problema":"Título e ajuda da aba trocados pelos da 4.0 (sem nomes de cliente nem textos da 3.0).","Correção":"Reescritos.","Estado":"Corrigido","Código":"title_help","Valor anterior":"Registrar mudanças antes de atualizar a ficha ou metas. A planilha não aumenta carga ou muda calorias automaticamente."}</t>
        </is>
      </c>
    </row>
    <row r="152">
      <c r="A152" s="46" t="n">
        <v>46294.5</v>
      </c>
      <c r="B152" t="inlineStr">
        <is>
          <t>mumsz1c090e2</t>
        </is>
      </c>
      <c r="C152" t="inlineStr">
        <is>
          <t>Migrar 3.0 → 4.0</t>
        </is>
      </c>
      <c r="D152" t="inlineStr">
        <is>
          <t>Auditoria</t>
        </is>
      </c>
      <c r="E152" t="n">
        <v>66</v>
      </c>
      <c r="F152" t="inlineStr">
        <is>
          <t>Inclusão</t>
        </is>
      </c>
      <c r="H152" t="inlineStr">
        <is>
          <t>{"Data":{"$d":"2026-09-29T15:00:00.000Z"},"Severidade":"Info","Aba":"Revisões","Célula/linha":"linha 5","Problema":"Cabeçalhos da 3.0 renomeados (mesma coluna, dados no lugar).","Correção":"Alteração proposta → Alteração; Resultado após mudança → Resultado","Estado":"Corrigido","Código":"header_renamed","Valor anterior":"Alteração proposta | Resultado após mudança"}</t>
        </is>
      </c>
    </row>
    <row r="153">
      <c r="A153" s="46" t="n">
        <v>46294.5</v>
      </c>
      <c r="B153" t="inlineStr">
        <is>
          <t>mumsz1c090e2</t>
        </is>
      </c>
      <c r="C153" t="inlineStr">
        <is>
          <t>Migrar 3.0 → 4.0</t>
        </is>
      </c>
      <c r="D153" t="inlineStr">
        <is>
          <t>Auditoria</t>
        </is>
      </c>
      <c r="E153" t="n">
        <v>67</v>
      </c>
      <c r="F153" t="inlineStr">
        <is>
          <t>Inclusão</t>
        </is>
      </c>
      <c r="H153" t="inlineStr">
        <is>
          <t>{"Data":{"$d":"2026-09-29T15:00:00.000Z"},"Severidade":"Info","Aba":"Revisões","Célula/linha":"I5:L5","Problema":"Colunas da 4.0 acrescentadas à direita: Objetivo, Meta, Ficha, Recomendação.","Correção":"Nenhuma coluna existente foi movida.","Estado":"Corrigido","Código":"columns_added","Valor anterior":""}</t>
        </is>
      </c>
    </row>
    <row r="154">
      <c r="A154" s="46" t="n">
        <v>46294.5</v>
      </c>
      <c r="B154" t="inlineStr">
        <is>
          <t>mumsz1c090e2</t>
        </is>
      </c>
      <c r="C154" t="inlineStr">
        <is>
          <t>Migrar 3.0 → 4.0</t>
        </is>
      </c>
      <c r="D154" t="inlineStr">
        <is>
          <t>Auditoria</t>
        </is>
      </c>
      <c r="E154" t="n">
        <v>68</v>
      </c>
      <c r="F154" t="inlineStr">
        <is>
          <t>Inclusão</t>
        </is>
      </c>
      <c r="H154" t="inlineStr">
        <is>
          <t>{"Data":{"$d":"2026-09-29T15:00:00.000Z"},"Severidade":"Info","Aba":"Revisões","Célula/linha":"A6","Problema":"Horário retirado da data em \"Data\" (datas são dias puros).","Correção":"15/09/2026","Estado":"Corrigido","Código":"date_with_time","Valor anterior":"15/09/2026 12:00"}</t>
        </is>
      </c>
    </row>
    <row r="155">
      <c r="A155" s="46" t="n">
        <v>46294.5</v>
      </c>
      <c r="B155" t="inlineStr">
        <is>
          <t>mumsz1c090e2</t>
        </is>
      </c>
      <c r="C155" t="inlineStr">
        <is>
          <t>Migrar 3.0 → 4.0</t>
        </is>
      </c>
      <c r="D155" t="inlineStr">
        <is>
          <t>Auditoria</t>
        </is>
      </c>
      <c r="E155" t="n">
        <v>69</v>
      </c>
      <c r="F155" t="inlineStr">
        <is>
          <t>Inclusão</t>
        </is>
      </c>
      <c r="H155" t="inlineStr">
        <is>
          <t>{"Data":{"$d":"2026-09-29T15:00:00.000Z"},"Severidade":"Info","Aba":"Revisões","Célula/linha":"A7","Problema":"Horário retirado da data em \"Data\" (datas são dias puros).","Correção":"15/09/2026","Estado":"Corrigido","Código":"date_with_time","Valor anterior":"15/09/2026 12:00"}</t>
        </is>
      </c>
    </row>
    <row r="156">
      <c r="A156" s="46" t="n">
        <v>46294.5</v>
      </c>
      <c r="B156" t="inlineStr">
        <is>
          <t>mumsz1c090e2</t>
        </is>
      </c>
      <c r="C156" t="inlineStr">
        <is>
          <t>Migrar 3.0 → 4.0</t>
        </is>
      </c>
      <c r="D156" t="inlineStr">
        <is>
          <t>Auditoria</t>
        </is>
      </c>
      <c r="E156" t="n">
        <v>70</v>
      </c>
      <c r="F156" t="inlineStr">
        <is>
          <t>Inclusão</t>
        </is>
      </c>
      <c r="H156" t="inlineStr">
        <is>
          <t>{"Data":{"$d":"2026-09-29T15:00:00.000Z"},"Severidade":"Info","Aba":"Revisões","Célula/linha":"A10","Problema":"Data em texto em \"Data\" gravada como data.","Correção":"28/09/2026","Estado":"Corrigido","Código":"text_date","Valor anterior":"28/09/2026"}</t>
        </is>
      </c>
    </row>
    <row r="157">
      <c r="A157" s="46" t="n">
        <v>46294.5</v>
      </c>
      <c r="B157" t="inlineStr">
        <is>
          <t>mumsz1c090e2</t>
        </is>
      </c>
      <c r="C157" t="inlineStr">
        <is>
          <t>Migrar 3.0 → 4.0</t>
        </is>
      </c>
      <c r="D157" t="inlineStr">
        <is>
          <t>Auditoria</t>
        </is>
      </c>
      <c r="E157" t="n">
        <v>71</v>
      </c>
      <c r="F157" t="inlineStr">
        <is>
          <t>Inclusão</t>
        </is>
      </c>
      <c r="H157" t="inlineStr">
        <is>
          <t>{"Data":{"$d":"2026-09-29T15:00:00.000Z"},"Severidade":"Info","Aba":"Metas","Célula/linha":"A2:A3","Problema":"Título e ajuda da aba trocados pelos da 4.0 (sem nomes de cliente nem textos da 3.0).","Correção":"Reescritos.","Estado":"Corrigido","Código":"title_help","Valor anterior":"Após iniciar registros, use Nova meta na tela Hoje. Metas usadas ficam gravadas no dia."}</t>
        </is>
      </c>
    </row>
    <row r="158">
      <c r="A158" s="46" t="n">
        <v>46294.5</v>
      </c>
      <c r="B158" t="inlineStr">
        <is>
          <t>mumsz1c090e2</t>
        </is>
      </c>
      <c r="C158" t="inlineStr">
        <is>
          <t>Migrar 3.0 → 4.0</t>
        </is>
      </c>
      <c r="D158" t="inlineStr">
        <is>
          <t>Auditoria</t>
        </is>
      </c>
      <c r="E158" t="n">
        <v>72</v>
      </c>
      <c r="F158" t="inlineStr">
        <is>
          <t>Inclusão</t>
        </is>
      </c>
      <c r="H158" t="inlineStr">
        <is>
          <t>{"Data":{"$d":"2026-09-29T15:00:00.000Z"},"Severidade":"Info","Aba":"Metas","Célula/linha":"linha 5","Problema":"Cabeçalhos da 3.0 renomeados (mesma coluna, dados no lugar).","Correção":"Versão → ID; Vigência → Início; Treinos semana → Treinos/sem","Estado":"Corrigido","Código":"header_renamed","Valor anterior":"Versão | Vigência | Treinos semana"}</t>
        </is>
      </c>
    </row>
    <row r="159">
      <c r="A159" s="46" t="n">
        <v>46294.5</v>
      </c>
      <c r="B159" t="inlineStr">
        <is>
          <t>mumsz1c090e2</t>
        </is>
      </c>
      <c r="C159" t="inlineStr">
        <is>
          <t>Migrar 3.0 → 4.0</t>
        </is>
      </c>
      <c r="D159" t="inlineStr">
        <is>
          <t>Auditoria</t>
        </is>
      </c>
      <c r="E159" t="n">
        <v>73</v>
      </c>
      <c r="F159" t="inlineStr">
        <is>
          <t>Inclusão</t>
        </is>
      </c>
      <c r="H159" t="inlineStr">
        <is>
          <t>{"Data":{"$d":"2026-09-29T15:00:00.000Z"},"Severidade":"Info","Aba":"Metas","Célula/linha":"M5:X5","Problema":"Colunas da 4.0 acrescentadas à direita: Objetivo, Fim, Status, Fibra g, Cardio/sem, Atividades/sem, Passos/dia, TMB kcal, Método TMB, Fator de atividade, Gasto estimado kcal, Revisor.","Correção":"Nenhuma coluna existente foi movida.","Estado":"Corrigido","Código":"columns_added","Valor anterior":""}</t>
        </is>
      </c>
    </row>
    <row r="160">
      <c r="A160" s="46" t="n">
        <v>46294.5</v>
      </c>
      <c r="B160" t="inlineStr">
        <is>
          <t>mumsz1c090e2</t>
        </is>
      </c>
      <c r="C160" t="inlineStr">
        <is>
          <t>Migrar 3.0 → 4.0</t>
        </is>
      </c>
      <c r="D160" t="inlineStr">
        <is>
          <t>Auditoria</t>
        </is>
      </c>
      <c r="E160" t="n">
        <v>74</v>
      </c>
      <c r="F160" t="inlineStr">
        <is>
          <t>Inclusão</t>
        </is>
      </c>
      <c r="H160" t="inlineStr">
        <is>
          <t>{"Data":{"$d":"2026-09-29T15:00:00.000Z"},"Severidade":"Info","Aba":"Fichas","Célula/linha":"A2:A3","Problema":"Título e ajuda da aba trocados pelos da 4.0 (sem nomes de cliente nem textos da 3.0).","Correção":"Reescritos.","Estado":"Corrigido","Código":"title_help","Valor anterior":"Edite a proposta em Ficha de treino. Salvar nova ficha arquiva outra versão sem apagar esta."}</t>
        </is>
      </c>
    </row>
    <row r="161">
      <c r="A161" s="46" t="n">
        <v>46294.5</v>
      </c>
      <c r="B161" t="inlineStr">
        <is>
          <t>mumsz1c090e2</t>
        </is>
      </c>
      <c r="C161" t="inlineStr">
        <is>
          <t>Migrar 3.0 → 4.0</t>
        </is>
      </c>
      <c r="D161" t="inlineStr">
        <is>
          <t>Auditoria</t>
        </is>
      </c>
      <c r="E161" t="n">
        <v>75</v>
      </c>
      <c r="F161" t="inlineStr">
        <is>
          <t>Inclusão</t>
        </is>
      </c>
      <c r="H161" t="inlineStr">
        <is>
          <t>{"Data":{"$d":"2026-09-29T15:00:00.000Z"},"Severidade":"Info","Aba":"Fichas","Célula/linha":"P5:R5","Problema":"Colunas da 4.0 acrescentadas à direita: Início, Fim, Status.","Correção":"Nenhuma coluna existente foi movida.","Estado":"Corrigido","Código":"columns_added","Valor anterior":""}</t>
        </is>
      </c>
    </row>
    <row r="162">
      <c r="A162" s="46" t="n">
        <v>46294.5</v>
      </c>
      <c r="B162" t="inlineStr">
        <is>
          <t>mumsz1c090e2</t>
        </is>
      </c>
      <c r="C162" t="inlineStr">
        <is>
          <t>Migrar 3.0 → 4.0</t>
        </is>
      </c>
      <c r="D162" t="inlineStr">
        <is>
          <t>Auditoria</t>
        </is>
      </c>
      <c r="E162" t="n">
        <v>76</v>
      </c>
      <c r="F162" t="inlineStr">
        <is>
          <t>Inclusão</t>
        </is>
      </c>
      <c r="H162" t="inlineStr">
        <is>
          <t>{"Data":{"$d":"2026-09-29T15:00:00.000Z"},"Severidade":"Info","Aba":"Alimentos","Célula/linha":"A2:A3","Problema":"Título e ajuda da aba trocados pelos da 4.0 (sem nomes de cliente nem textos da 3.0).","Correção":"Reescritos.","Estado":"Corrigido","Código":"title_help","Valor anterior":"B e C definem a unidade e a porção-base dos nutrientes. M/N: medida caseira opcional. O: qualidade da referência. Não converter ml em g sem densidade."}</t>
        </is>
      </c>
    </row>
    <row r="163">
      <c r="A163" s="46" t="n">
        <v>46294.5</v>
      </c>
      <c r="B163" t="inlineStr">
        <is>
          <t>mumsz1c090e2</t>
        </is>
      </c>
      <c r="C163" t="inlineStr">
        <is>
          <t>Migrar 3.0 → 4.0</t>
        </is>
      </c>
      <c r="D163" t="inlineStr">
        <is>
          <t>Auditoria</t>
        </is>
      </c>
      <c r="E163" t="n">
        <v>77</v>
      </c>
      <c r="F163" t="inlineStr">
        <is>
          <t>Inclusão</t>
        </is>
      </c>
      <c r="H163" t="inlineStr">
        <is>
          <t>{"Data":{"$d":"2026-09-29T15:00:00.000Z"},"Severidade":"Info","Aba":"Favoritas","Célula/linha":"A2:A3","Problema":"Título e ajuda da aba trocados pelos da 4.0 (sem nomes de cliente nem textos da 3.0).","Correção":"Reescritos.","Estado":"Corrigido","Código":"title_help","Valor anterior":"Cadastro pessoal vazio. Use Projeto → Favoritar refeição da data após registrar uma refeição sua."}</t>
        </is>
      </c>
    </row>
    <row r="164">
      <c r="A164" s="46" t="n">
        <v>46294.5</v>
      </c>
      <c r="B164" t="inlineStr">
        <is>
          <t>mumsz1c090e2</t>
        </is>
      </c>
      <c r="C164" t="inlineStr">
        <is>
          <t>Migrar 3.0 → 4.0</t>
        </is>
      </c>
      <c r="D164" t="inlineStr">
        <is>
          <t>Auditoria</t>
        </is>
      </c>
      <c r="E164" t="n">
        <v>78</v>
      </c>
      <c r="F164" t="inlineStr">
        <is>
          <t>Inclusão</t>
        </is>
      </c>
      <c r="H164" t="inlineStr">
        <is>
          <t>{"Data":{"$d":"2026-09-29T15:00:00.000Z"},"Severidade":"Info","Aba":"Ingredientes","Célula/linha":"A2:A3","Problema":"Título e ajuda da aba trocados pelos da 4.0 (sem nomes de cliente nem textos da 3.0).","Correção":"Reescritos.","Estado":"Corrigido","Código":"title_help","Valor anterior":"Ingredientes das suas favoritas. Quantidade sempre na unidade-base do alimento."}</t>
        </is>
      </c>
    </row>
    <row r="165">
      <c r="A165" s="46" t="n">
        <v>46294.5</v>
      </c>
      <c r="B165" t="inlineStr">
        <is>
          <t>mumsz1c090e2</t>
        </is>
      </c>
      <c r="C165" t="inlineStr">
        <is>
          <t>Migrar 3.0 → 4.0</t>
        </is>
      </c>
      <c r="D165" t="inlineStr">
        <is>
          <t>Auditoria</t>
        </is>
      </c>
      <c r="E165" t="n">
        <v>79</v>
      </c>
      <c r="F165" t="inlineStr">
        <is>
          <t>Inclusão</t>
        </is>
      </c>
      <c r="H165" t="inlineStr">
        <is>
          <t>{"Data":{"$d":"2026-09-29T15:00:00.000Z"},"Severidade":"Info","Aba":"Equivalências","Célula/linha":"A2:A3","Problema":"Título e ajuda da aba trocados pelos da 4.0 (sem nomes de cliente nem textos da 3.0).","Correção":"Reescritos.","Estado":"Corrigido","Código":"title_help","Valor anterior":"Trocas igualam um nutriente, não todos os macros. Quantidades calculadas são aproximações; confira o total da dieta."}</t>
        </is>
      </c>
    </row>
    <row r="166">
      <c r="A166" s="46" t="n">
        <v>46294.5</v>
      </c>
      <c r="B166" t="inlineStr">
        <is>
          <t>mumsz1c090e2</t>
        </is>
      </c>
      <c r="C166" t="inlineStr">
        <is>
          <t>Migrar 3.0 → 4.0</t>
        </is>
      </c>
      <c r="D166" t="inlineStr">
        <is>
          <t>Auditoria</t>
        </is>
      </c>
      <c r="E166" t="n">
        <v>80</v>
      </c>
      <c r="F166" t="inlineStr">
        <is>
          <t>Inclusão</t>
        </is>
      </c>
      <c r="H166" t="inlineStr">
        <is>
          <t>{"Data":{"$d":"2026-09-29T15:00:00.000Z"},"Severidade":"Info","Aba":"Exercícios","Célula/linha":"A2:A3","Problema":"Título e ajuda da aba trocados pelos da 4.0 (sem nomes de cliente nem textos da 3.0).","Correção":"Reescritos.","Estado":"Corrigido","Código":"title_help","Valor anterior":"Cadastro expansível de exercícios"}</t>
        </is>
      </c>
    </row>
    <row r="167">
      <c r="A167" s="46" t="n">
        <v>46294.5</v>
      </c>
      <c r="B167" t="inlineStr">
        <is>
          <t>mumsz1c090e2</t>
        </is>
      </c>
      <c r="C167" t="inlineStr">
        <is>
          <t>Migrar 3.0 → 4.0</t>
        </is>
      </c>
      <c r="D167" t="inlineStr">
        <is>
          <t>Auditoria</t>
        </is>
      </c>
      <c r="E167" t="n">
        <v>81</v>
      </c>
      <c r="F167" t="inlineStr">
        <is>
          <t>Inclusão</t>
        </is>
      </c>
      <c r="H167" t="inlineStr">
        <is>
          <t>{"Data":{"$d":"2026-09-29T15:00:00.000Z"},"Severidade":"Info","Aba":"Guia","Célula/linha":"A2:A3","Problema":"Título e ajuda da aba trocados pelos da 4.0 (sem nomes de cliente nem textos da 3.0).","Correção":"Reescritos.","Estado":"Corrigido","Código":"title_help","Valor anterior":"Versão 3.0 — Google Sheets. Registro pessoal, estimativas explícitas e foco nas séries de trabalho."}</t>
        </is>
      </c>
    </row>
    <row r="168">
      <c r="A168" s="46" t="n">
        <v>46294.5</v>
      </c>
      <c r="B168" t="inlineStr">
        <is>
          <t>mumsz1c090e2</t>
        </is>
      </c>
      <c r="C168" t="inlineStr">
        <is>
          <t>Migrar 3.0 → 4.0</t>
        </is>
      </c>
      <c r="D168" t="inlineStr">
        <is>
          <t>Auditoria</t>
        </is>
      </c>
      <c r="E168" t="n">
        <v>82</v>
      </c>
      <c r="F168" t="inlineStr">
        <is>
          <t>Inclusão</t>
        </is>
      </c>
      <c r="H168" t="inlineStr">
        <is>
          <t>{"Data":{"$d":"2026-09-29T15:00:00.000Z"},"Severidade":"Info","Aba":"Fichas","Célula/linha":"F001 (22 linhas)","Problema":"Ficha F001: data técnica 01/01/1900 substituída pela data real; vigência 15/09/2026–27/09/2026, Encerrada.","Correção":"Início: — → 15/09/2026; Fim: — → 27/09/2026; Status: — → Encerrada; Vigência: 01/01/1900 → 15/09/2026","Estado":"Corrigido","Código":"version_technical_date","Valor anterior":"Início=—; Fim=—; Status=—; Vigência=01/01/1900"}</t>
        </is>
      </c>
    </row>
    <row r="169">
      <c r="A169" s="46" t="n">
        <v>46294.5</v>
      </c>
      <c r="B169" t="inlineStr">
        <is>
          <t>mumsz1c090e2</t>
        </is>
      </c>
      <c r="C169" t="inlineStr">
        <is>
          <t>Migrar 3.0 → 4.0</t>
        </is>
      </c>
      <c r="D169" t="inlineStr">
        <is>
          <t>Auditoria</t>
        </is>
      </c>
      <c r="E169" t="n">
        <v>83</v>
      </c>
      <c r="F169" t="inlineStr">
        <is>
          <t>Inclusão</t>
        </is>
      </c>
      <c r="H169" t="inlineStr">
        <is>
          <t>{"Data":{"$d":"2026-09-29T15:00:00.000Z"},"Severidade":"Info","Aba":"Fichas","Célula/linha":"F002 (22 linhas)","Problema":"Ficha F002: vigência 28/09/2026–em aberto, Vigente.","Correção":"Início: — → 28/09/2026; Status: — → Vigente","Estado":"Corrigido","Código":"version_updated","Valor anterior":"Início=—; Status=—"}</t>
        </is>
      </c>
    </row>
    <row r="170">
      <c r="A170" s="46" t="n">
        <v>46294.5</v>
      </c>
      <c r="B170" t="inlineStr">
        <is>
          <t>mumsz1c090e2</t>
        </is>
      </c>
      <c r="C170" t="inlineStr">
        <is>
          <t>Migrar 3.0 → 4.0</t>
        </is>
      </c>
      <c r="D170" t="inlineStr">
        <is>
          <t>Auditoria</t>
        </is>
      </c>
      <c r="E170" t="n">
        <v>84</v>
      </c>
      <c r="F170" t="inlineStr">
        <is>
          <t>Inclusão</t>
        </is>
      </c>
      <c r="H170" t="inlineStr">
        <is>
          <t>{"Data":{"$d":"2026-09-29T15:00:00.000Z"},"Severidade":"Info","Aba":"Metas","Célula/linha":"M001","Problema":"Meta M001: data técnica 01/01/1900 substituída pela data real; vigência 28/09/2026–em aberto, Vigente.","Correção":"Cardio/sem: — → 0; Atividades/sem: — → 2; Motivo: Referência inicial dos chats. Vigência inicial técnica; data do projeto no perfil. → Referência inicial dos chats; início real 28/09/2026 (a 3.0 usava 01/01/1900 como vigência técnica).; Revisor: — → Luan; TMB kcal: — → 1673,75; Método TMB: — → Mifflin-St Jeor; Fator de atividade: — → 1,55; Gasto estimado kcal: — → 2594,31; Início: 01/01/1900 → 28/09/2026; Status: — → Vigente","Estado":"Corrigido","Código":"version_technical_date","Valor anterior":"Cardio/sem=—; Atividades/sem=—; Motivo=Referência inicial dos chats. Vigência inicial técnica; data do projeto no perfil.; Revisor=—; TMB kcal=—; Método TMB=—; Fator de atividade=—; Gasto estimado kcal=—; Início=01/01/1900; Status=—"}</t>
        </is>
      </c>
    </row>
    <row r="171">
      <c r="A171" s="46" t="n">
        <v>46294.5</v>
      </c>
      <c r="B171" t="inlineStr">
        <is>
          <t>mumsz1c090e2</t>
        </is>
      </c>
      <c r="C171" t="inlineStr">
        <is>
          <t>Migrar 3.0 → 4.0</t>
        </is>
      </c>
      <c r="D171" t="inlineStr">
        <is>
          <t>Auditoria</t>
        </is>
      </c>
      <c r="E171" t="n">
        <v>85</v>
      </c>
      <c r="F171" t="inlineStr">
        <is>
          <t>Inclusão</t>
        </is>
      </c>
      <c r="H171" t="inlineStr">
        <is>
          <t>{"Data":{"$d":"2026-09-29T15:00:00.000Z"},"Severidade":"Info","Aba":"Objetivos","Célula/linha":"O001","Problema":"Objetivo O001 criado a partir da configuração do cliente (Vigente desde 28/09/2026).","Correção":"Objetivo: Recomposição corporal; Tipo de análise: recomposicao; Peso inicial kg: 67; Expectativa principal: Ganhar músculo e acompanhar cintura, desempenho e recuperação; Motivo da mudança: Objetivo inicial (migração 3.0 → 4.0); ID: O001; Início: 28/09/2026; Status: Vigente; kcal iniciais: 2400; Proteína g: 140; Gordura g: 65; Carboidrato g: 313,75; Treinos/sem: 3; Cardio/sem: 0; Atividades/sem: 2; Revisor: Luan","Estado":"Corrigido","Código":"version_created","Valor anterior":""}</t>
        </is>
      </c>
    </row>
    <row r="172">
      <c r="A172" s="46" t="n">
        <v>46294.5</v>
      </c>
      <c r="B172" t="inlineStr">
        <is>
          <t>mumsz1c090e2</t>
        </is>
      </c>
      <c r="C172" t="inlineStr">
        <is>
          <t>Migrar 3.0 → 4.0</t>
        </is>
      </c>
      <c r="D172" t="inlineStr">
        <is>
          <t>Auditoria</t>
        </is>
      </c>
      <c r="E172" t="n">
        <v>86</v>
      </c>
      <c r="F172" t="inlineStr">
        <is>
          <t>Inclusão</t>
        </is>
      </c>
      <c r="H172" t="inlineStr">
        <is>
          <t>{"Data":{"$d":"2026-09-29T15:00:00.000Z"},"Severidade":"Info","Aba":"Metas","Célula/linha":"M001","Problema":"Meta M001 ligado a O001 (em vigor no início).","Correção":"Ids gravados.","Estado":"Corrigido","Código":"version_linked","Valor anterior":""}</t>
        </is>
      </c>
    </row>
    <row r="173">
      <c r="A173" s="46" t="n">
        <v>46294.5</v>
      </c>
      <c r="B173" t="inlineStr">
        <is>
          <t>mumsz1c090e2</t>
        </is>
      </c>
      <c r="C173" t="inlineStr">
        <is>
          <t>Migrar 3.0 → 4.0</t>
        </is>
      </c>
      <c r="D173" t="inlineStr">
        <is>
          <t>Auditoria</t>
        </is>
      </c>
      <c r="E173" t="n">
        <v>87</v>
      </c>
      <c r="F173" t="inlineStr">
        <is>
          <t>Inclusão</t>
        </is>
      </c>
      <c r="H173" t="inlineStr">
        <is>
          <t>{"Data":{"$d":"2026-09-29T15:00:00.000Z"},"Severidade":"Info","Aba":"Objetivos","Célula/linha":"O001","Problema":"Objetivo O001 ligado a M001, F002 (em vigor no início).","Correção":"Ids gravados.","Estado":"Corrigido","Código":"version_linked","Valor anterior":""}</t>
        </is>
      </c>
    </row>
    <row r="174">
      <c r="A174" s="46" t="n">
        <v>46294.5</v>
      </c>
      <c r="B174" t="inlineStr">
        <is>
          <t>mumsz1c090e2</t>
        </is>
      </c>
      <c r="C174" t="inlineStr">
        <is>
          <t>Migrar 3.0 → 4.0</t>
        </is>
      </c>
      <c r="D174" t="inlineStr">
        <is>
          <t>Auditoria</t>
        </is>
      </c>
      <c r="E174" t="n">
        <v>88</v>
      </c>
      <c r="F174" t="inlineStr">
        <is>
          <t>Inclusão</t>
        </is>
      </c>
      <c r="H174" t="inlineStr">
        <is>
          <t>{"Data":{"$d":"2026-09-29T15:00:00.000Z"},"Severidade":"Info","Aba":"Guia","Célula/linha":"C17","Problema":"Frase de outro cliente (Zoio) retirada: \"Zoio: sequência contínua avança só ao concluir sessão.\"","Correção":"Célula ficou vazia.","Estado":"Corrigido","Código":"cross_client","Valor anterior":"Zoio: sequência contínua avança só ao concluir sessão."}</t>
        </is>
      </c>
    </row>
    <row r="175">
      <c r="A175" s="46" t="n">
        <v>46294.5</v>
      </c>
      <c r="B175" t="inlineStr">
        <is>
          <t>mumsz1c090e2</t>
        </is>
      </c>
      <c r="C175" t="inlineStr">
        <is>
          <t>Migrar 3.0 → 4.0</t>
        </is>
      </c>
      <c r="D175" t="inlineStr">
        <is>
          <t>Auditoria</t>
        </is>
      </c>
      <c r="E175" t="n">
        <v>89</v>
      </c>
      <c r="F175" t="inlineStr">
        <is>
          <t>Inclusão</t>
        </is>
      </c>
      <c r="H175" t="inlineStr">
        <is>
          <t>{"Data":{"$d":"2026-09-29T15:00:00.000Z"},"Severidade":"Info","Aba":"Guia","Célula/linha":"B21","Problema":"Frase de outro cliente (Zoio) retirada: \"Zoio: Push A → Pull A → Legs A → Push B → Pull B → Legs B.\"","Correção":"Texto mantido: \"Breno: Upper → Lower → Full Body.\"","Estado":"Corrigido","Código":"cross_client","Valor anterior":"Zoio: Push A → Pull A → Legs A → Push B → Pull B → Legs B. Breno: Upper → Lower → Full Body."}</t>
        </is>
      </c>
    </row>
    <row r="176">
      <c r="A176" s="46" t="n">
        <v>46294.5</v>
      </c>
      <c r="B176" t="inlineStr">
        <is>
          <t>mumsz1c090e2</t>
        </is>
      </c>
      <c r="C176" t="inlineStr">
        <is>
          <t>Migrar 3.0 → 4.0</t>
        </is>
      </c>
      <c r="D176" t="inlineStr">
        <is>
          <t>Auditoria</t>
        </is>
      </c>
      <c r="E176" t="n">
        <v>90</v>
      </c>
      <c r="F176" t="inlineStr">
        <is>
          <t>Inclusão</t>
        </is>
      </c>
      <c r="H176" t="inlineStr">
        <is>
          <t>{"Data":{"$d":"2026-09-29T15:00:00.000Z"},"Severidade":"Info","Aba":"Guia","Célula/linha":"C21","Problema":"Frase de outro cliente (Zoio) retirada: \"O agendamento semanal não reinicia a rotação do Zoio.\"","Correção":"Célula ficou vazia.","Estado":"Corrigido","Código":"cross_client","Valor anterior":"O agendamento semanal não reinicia a rotação do Zoio."}</t>
        </is>
      </c>
    </row>
    <row r="177">
      <c r="A177" s="46" t="n">
        <v>46294.5</v>
      </c>
      <c r="B177" t="inlineStr">
        <is>
          <t>mumsz1c090e2</t>
        </is>
      </c>
      <c r="C177" t="inlineStr">
        <is>
          <t>Migrar 3.0 → 4.0</t>
        </is>
      </c>
      <c r="D177" t="inlineStr">
        <is>
          <t>Auditoria</t>
        </is>
      </c>
      <c r="E177" t="n">
        <v>91</v>
      </c>
      <c r="F177" t="inlineStr">
        <is>
          <t>Inclusão</t>
        </is>
      </c>
      <c r="H177" t="inlineStr">
        <is>
          <t>{"Data":{"$d":"2026-09-29T15:00:00.000Z"},"Severidade":"Info","Aba":"Hoje","Célula/linha":"E5","Problema":"Texto de status da 3.0 substituído.","Correção":"Planilha 4.0: objetivo, meta e ficha em vigor vêm das abas Objetivos, Metas e Fichas.","Estado":"Corrigido","Código":"stale_text","Valor anterior":"Revisão 3.0 validada: fichas, unidades e volume dos work sets."}</t>
        </is>
      </c>
    </row>
    <row r="178">
      <c r="A178" s="46" t="n">
        <v>46294.5</v>
      </c>
      <c r="B178" t="inlineStr">
        <is>
          <t>mumsz1c090e2</t>
        </is>
      </c>
      <c r="C178" t="inlineStr">
        <is>
          <t>Migrar 3.0 → 4.0</t>
        </is>
      </c>
      <c r="D178" t="inlineStr">
        <is>
          <t>Auditoria</t>
        </is>
      </c>
      <c r="E178" t="n">
        <v>92</v>
      </c>
      <c r="F178" t="inlineStr">
        <is>
          <t>Inclusão</t>
        </is>
      </c>
      <c r="H178" t="inlineStr">
        <is>
          <t>{"Data":{"$d":"2026-09-29T15:00:00.000Z"},"Severidade":"Info","Aba":"Revisões","Célula/linha":"","Problema":"5 linhas receberam os ids em vigor na data (objective, goal, plan).","Correção":"Só células vazias foram preenchidas.","Estado":"Corrigido","Código":"ids_stamped","Valor anterior":""}</t>
        </is>
      </c>
    </row>
    <row r="179">
      <c r="A179" s="46" t="n">
        <v>46294.5</v>
      </c>
      <c r="B179" t="inlineStr">
        <is>
          <t>mumsz1c090e2</t>
        </is>
      </c>
      <c r="C179" t="inlineStr">
        <is>
          <t>Migrar 3.0 → 4.0</t>
        </is>
      </c>
      <c r="D179" t="inlineStr">
        <is>
          <t>Auditoria</t>
        </is>
      </c>
      <c r="E179" t="n">
        <v>93</v>
      </c>
      <c r="F179" t="inlineStr">
        <is>
          <t>Inclusão</t>
        </is>
      </c>
      <c r="H179" t="inlineStr">
        <is>
          <t>{"Data":{"$d":"2026-09-29T15:00:00.000Z"},"Severidade":"Info","Aba":"Hoje","Célula/linha":"A27:A38","Problema":"Intervalo nomeado \"ListaExercicios\" recriado para a lista da validação.","Correção":"ListaExercicios = Exercícios!A6:A1000.","Estado":"Corrigido","Código":"validation_named_range","Valor anterior":"ListaExercicios"}</t>
        </is>
      </c>
    </row>
    <row r="180">
      <c r="A180" s="46" t="n">
        <v>46294.5</v>
      </c>
      <c r="B180" t="inlineStr">
        <is>
          <t>mumsz1c090e2</t>
        </is>
      </c>
      <c r="C180" t="inlineStr">
        <is>
          <t>Migrar 3.0 → 4.0</t>
        </is>
      </c>
      <c r="D180" t="inlineStr">
        <is>
          <t>Auditoria</t>
        </is>
      </c>
      <c r="E180" t="n">
        <v>94</v>
      </c>
      <c r="F180" t="inlineStr">
        <is>
          <t>Inclusão</t>
        </is>
      </c>
      <c r="H180" t="inlineStr">
        <is>
          <t>{"Data":{"$d":"2026-09-29T15:00:00.000Z"},"Severidade":"Info","Aba":"Registro de treino","Célula/linha":"C6","Problema":"Intervalo nomeado \"ListaExercicios\" recriado para a lista da validação.","Correção":"ListaExercicios = Exercícios!A6:A1000.","Estado":"Corrigido","Código":"validation_named_range","Valor anterior":"ListaExercicios"}</t>
        </is>
      </c>
    </row>
    <row r="181">
      <c r="A181" s="46" t="n">
        <v>46294.5</v>
      </c>
      <c r="B181" t="inlineStr">
        <is>
          <t>mumsz1c090e2</t>
        </is>
      </c>
      <c r="C181" t="inlineStr">
        <is>
          <t>Migrar 3.0 → 4.0</t>
        </is>
      </c>
      <c r="D181" t="inlineStr">
        <is>
          <t>Auditoria</t>
        </is>
      </c>
      <c r="E181" t="n">
        <v>95</v>
      </c>
      <c r="F181" t="inlineStr">
        <is>
          <t>Inclusão</t>
        </is>
      </c>
      <c r="H181" t="inlineStr">
        <is>
          <t>{"Data":{"$d":"2026-09-29T15:00:00.000Z"},"Severidade":"Info","Aba":"Painel","Célula/linha":"","Problema":"21 fórmulas da 3.0 removidas (liam Semanas por posição e com intervalos fixos). Texto digitado mantido.","Correção":"O Painel passa a ser desenhado pelo script (Atualizar painel / Reaplicar layout).","Estado":"Corrigido","Código":"layout_formulas_removed","Valor anterior":"'=Hoje!B5-WEEKDAY(Hoje!B5,2)+1"}</t>
        </is>
      </c>
    </row>
    <row r="182">
      <c r="A182" s="46" t="n">
        <v>46294.5</v>
      </c>
      <c r="B182" t="inlineStr">
        <is>
          <t>mumsz1c090e2</t>
        </is>
      </c>
      <c r="C182" t="inlineStr">
        <is>
          <t>Migrar 3.0 → 4.0</t>
        </is>
      </c>
      <c r="D182" t="inlineStr">
        <is>
          <t>Auditoria</t>
        </is>
      </c>
      <c r="E182" t="n">
        <v>96</v>
      </c>
      <c r="F182" t="inlineStr">
        <is>
          <t>Inclusão</t>
        </is>
      </c>
      <c r="H182" t="inlineStr">
        <is>
          <t>{"Data":{"$d":"2026-09-29T15:00:00.000Z"},"Severidade":"Info","Aba":"Config","Célula/linha":"system.schemaVersion","Problema":"Versão do esquema gravada: 4.0.","Correção":"Rodar a migração de novo não altera nada.","Estado":"Corrigido","Código":"schema_version","Valor anterior":""}</t>
        </is>
      </c>
    </row>
    <row r="183">
      <c r="A183" s="46" t="n">
        <v>46294.5</v>
      </c>
      <c r="B183" t="inlineStr">
        <is>
          <t>mumsz1c090e2</t>
        </is>
      </c>
      <c r="C183" t="inlineStr">
        <is>
          <t>Migrar 3.0 → 4.0</t>
        </is>
      </c>
      <c r="D183" t="inlineStr">
        <is>
          <t>Auditoria</t>
        </is>
      </c>
      <c r="E183" t="n">
        <v>97</v>
      </c>
      <c r="F183" t="inlineStr">
        <is>
          <t>Inclusão</t>
        </is>
      </c>
      <c r="H183" t="inlineStr">
        <is>
          <t>{"Data":{"$d":"2026-09-29T15:00:00.000Z"},"Severidade":"Aviso","Aba":"","Célula/linha":"Energia","Problema":"Fator de atividade 1,55 é uma estimativa; revisar com os primeiros registros de peso e ingestão.","Correção":"Confirmar com o revisor e ajustar em Config/Metas se preciso.","Estado":"Revisar","Código":"review","Valor anterior":""}</t>
        </is>
      </c>
    </row>
    <row r="184">
      <c r="A184" s="46" t="n">
        <v>46294.5</v>
      </c>
      <c r="B184" t="inlineStr">
        <is>
          <t>mumsz1c090e2</t>
        </is>
      </c>
      <c r="C184" t="inlineStr">
        <is>
          <t>Migrar 3.0 → 4.0</t>
        </is>
      </c>
      <c r="D184" t="inlineStr">
        <is>
          <t>Auditoria</t>
        </is>
      </c>
      <c r="E184" t="n">
        <v>98</v>
      </c>
      <c r="F184" t="inlineStr">
        <is>
          <t>Inclusão</t>
        </is>
      </c>
      <c r="H184" t="inlineStr">
        <is>
          <t>{"Data":{"$d":"2026-09-29T15:00:00.000Z"},"Severidade":"Aviso","Aba":"","Célula/linha":"Perfil","Problema":"Início do acompanhamento (21/09/2026, primeiro registro) é anterior ao início do objetivo O001 e da meta M001 (28/09/2026); confirmar.","Correção":"Confirmar com o revisor e ajustar em Config/Metas se preciso.","Estado":"Revisar","Código":"review","Valor anterior":""}</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2:L5"/>
  <sheetViews>
    <sheetView showGridLines="1" workbookViewId="0">
      <selection activeCell="A1" sqref="A1"/>
    </sheetView>
  </sheetViews>
  <sheetFormatPr baseColWidth="8" defaultRowHeight="15"/>
  <sheetData>
    <row r="2">
      <c r="A2" t="inlineStr">
        <is>
          <t>Evolução de longo prazo</t>
        </is>
      </c>
    </row>
    <row r="3">
      <c r="A3" t="inlineStr">
        <is>
          <t>Uma linha por semana, todas as fases. Base dos gráficos do Painel.</t>
        </is>
      </c>
    </row>
    <row r="5">
      <c r="A5" t="inlineStr">
        <is>
          <t>Semana</t>
        </is>
      </c>
      <c r="B5" t="inlineStr">
        <is>
          <t>Objetivo</t>
        </is>
      </c>
      <c r="C5" t="inlineStr">
        <is>
          <t>Meta</t>
        </is>
      </c>
      <c r="D5" t="inlineStr">
        <is>
          <t>Ficha</t>
        </is>
      </c>
      <c r="E5" t="inlineStr">
        <is>
          <t>Peso médio 7d</t>
        </is>
      </c>
      <c r="F5" t="inlineStr">
        <is>
          <t>Cintura</t>
        </is>
      </c>
      <c r="G5" t="inlineStr">
        <is>
          <t>kcal média</t>
        </is>
      </c>
      <c r="H5" t="inlineStr">
        <is>
          <t>Proteína média</t>
        </is>
      </c>
      <c r="I5" t="inlineStr">
        <is>
          <t>Treinos</t>
        </is>
      </c>
      <c r="J5" t="inlineStr">
        <is>
          <t>Volume work</t>
        </is>
      </c>
      <c r="K5" t="inlineStr">
        <is>
          <t>Situação</t>
        </is>
      </c>
      <c r="L5" t="inlineStr">
        <is>
          <t>Recomendação</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2:W6"/>
  <sheetViews>
    <sheetView showGridLines="1" workbookViewId="0">
      <selection activeCell="A1" sqref="A1"/>
    </sheetView>
  </sheetViews>
  <sheetFormatPr baseColWidth="8" defaultRowHeight="15"/>
  <sheetData>
    <row r="2">
      <c r="A2" t="inlineStr">
        <is>
          <t>Objetivos por fase</t>
        </is>
      </c>
    </row>
    <row r="3">
      <c r="A3" t="inlineStr">
        <is>
          <t>Uma linha por versão do objetivo. Mudanças encerram a versão vigente e criam a próxima; nada é sobrescrito.</t>
        </is>
      </c>
    </row>
    <row r="5">
      <c r="A5" t="inlineStr">
        <is>
          <t>ID</t>
        </is>
      </c>
      <c r="B5" t="inlineStr">
        <is>
          <t>Objetivo</t>
        </is>
      </c>
      <c r="C5" t="inlineStr">
        <is>
          <t>Tipo de análise</t>
        </is>
      </c>
      <c r="D5" t="inlineStr">
        <is>
          <t>Início</t>
        </is>
      </c>
      <c r="E5" t="inlineStr">
        <is>
          <t>Fim</t>
        </is>
      </c>
      <c r="F5" t="inlineStr">
        <is>
          <t>Status</t>
        </is>
      </c>
      <c r="G5" t="inlineStr">
        <is>
          <t>Peso inicial kg</t>
        </is>
      </c>
      <c r="H5" t="inlineStr">
        <is>
          <t>Cintura inicial cm</t>
        </is>
      </c>
      <c r="I5" t="inlineStr">
        <is>
          <t>Motivo da mudança</t>
        </is>
      </c>
      <c r="J5" t="inlineStr">
        <is>
          <t>Expectativa principal</t>
        </is>
      </c>
      <c r="K5" t="inlineStr">
        <is>
          <t>Variação de peso alvo %/sem mín</t>
        </is>
      </c>
      <c r="L5" t="inlineStr">
        <is>
          <t>Variação de peso alvo %/sem máx</t>
        </is>
      </c>
      <c r="M5" t="inlineStr">
        <is>
          <t>kcal iniciais</t>
        </is>
      </c>
      <c r="N5" t="inlineStr">
        <is>
          <t>Proteína g</t>
        </is>
      </c>
      <c r="O5" t="inlineStr">
        <is>
          <t>Gordura g</t>
        </is>
      </c>
      <c r="P5" t="inlineStr">
        <is>
          <t>Carboidrato g</t>
        </is>
      </c>
      <c r="Q5" t="inlineStr">
        <is>
          <t>Treinos/sem</t>
        </is>
      </c>
      <c r="R5" t="inlineStr">
        <is>
          <t>Cardio/sem</t>
        </is>
      </c>
      <c r="S5" t="inlineStr">
        <is>
          <t>Atividades/sem</t>
        </is>
      </c>
      <c r="T5" t="inlineStr">
        <is>
          <t>Meta ligada</t>
        </is>
      </c>
      <c r="U5" t="inlineStr">
        <is>
          <t>Ficha ligada</t>
        </is>
      </c>
      <c r="V5" t="inlineStr">
        <is>
          <t>Revisor</t>
        </is>
      </c>
      <c r="W5" t="inlineStr">
        <is>
          <t>Observações</t>
        </is>
      </c>
    </row>
    <row r="6">
      <c r="A6" t="inlineStr">
        <is>
          <t>O001</t>
        </is>
      </c>
      <c r="B6" t="inlineStr">
        <is>
          <t>Recomposição corporal</t>
        </is>
      </c>
      <c r="C6" t="inlineStr">
        <is>
          <t>recomposicao</t>
        </is>
      </c>
      <c r="D6" s="46" t="n">
        <v>46293</v>
      </c>
      <c r="F6" t="inlineStr">
        <is>
          <t>Vigente</t>
        </is>
      </c>
      <c r="G6" t="n">
        <v>67</v>
      </c>
      <c r="I6" t="inlineStr">
        <is>
          <t>Objetivo inicial (migração 3.0 → 4.0)</t>
        </is>
      </c>
      <c r="J6" t="inlineStr">
        <is>
          <t>Ganhar músculo e acompanhar cintura, desempenho e recuperação</t>
        </is>
      </c>
      <c r="M6" t="n">
        <v>2400</v>
      </c>
      <c r="N6" t="n">
        <v>140</v>
      </c>
      <c r="O6" t="n">
        <v>65</v>
      </c>
      <c r="P6" t="n">
        <v>313.75</v>
      </c>
      <c r="Q6" t="n">
        <v>3</v>
      </c>
      <c r="R6" t="n">
        <v>0</v>
      </c>
      <c r="S6" t="n">
        <v>2</v>
      </c>
      <c r="T6" t="inlineStr">
        <is>
          <t>M001</t>
        </is>
      </c>
      <c r="U6" t="inlineStr">
        <is>
          <t>F002</t>
        </is>
      </c>
      <c r="V6" t="inlineStr">
        <is>
          <t>Luan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2:I98"/>
  <sheetViews>
    <sheetView showGridLines="1" workbookViewId="0">
      <selection activeCell="A1" sqref="A1"/>
    </sheetView>
  </sheetViews>
  <sheetFormatPr baseColWidth="8" defaultRowHeight="15"/>
  <sheetData>
    <row r="2">
      <c r="A2" t="inlineStr">
        <is>
          <t>Auditoria</t>
        </is>
      </c>
    </row>
    <row r="3">
      <c r="A3" t="inlineStr">
        <is>
          <t>Problemas encontrados pela auditoria e tudo o que a migração alterou (com o valor anterior). A auditoria não altera dados.</t>
        </is>
      </c>
    </row>
    <row r="5">
      <c r="A5" t="inlineStr">
        <is>
          <t>Data</t>
        </is>
      </c>
      <c r="B5" t="inlineStr">
        <is>
          <t>Severidade</t>
        </is>
      </c>
      <c r="C5" t="inlineStr">
        <is>
          <t>Aba</t>
        </is>
      </c>
      <c r="D5" t="inlineStr">
        <is>
          <t>Célula/linha</t>
        </is>
      </c>
      <c r="E5" t="inlineStr">
        <is>
          <t>Problema</t>
        </is>
      </c>
      <c r="F5" t="inlineStr">
        <is>
          <t>Correção</t>
        </is>
      </c>
      <c r="G5" t="inlineStr">
        <is>
          <t>Estado</t>
        </is>
      </c>
      <c r="H5" t="inlineStr">
        <is>
          <t>Código</t>
        </is>
      </c>
      <c r="I5" t="inlineStr">
        <is>
          <t>Valor anterior</t>
        </is>
      </c>
    </row>
    <row r="6">
      <c r="A6" s="46" t="n">
        <v>46294.5</v>
      </c>
      <c r="B6" t="inlineStr">
        <is>
          <t>Info</t>
        </is>
      </c>
      <c r="C6" t="inlineStr">
        <is>
          <t>Metas</t>
        </is>
      </c>
      <c r="E6" t="inlineStr">
        <is>
          <t>Aba "Histórico de metas" renomeada para "Metas" (mesma aba: links e gráficos continuam).</t>
        </is>
      </c>
      <c r="F6" t="inlineStr">
        <is>
          <t>Renomeada no lugar.</t>
        </is>
      </c>
      <c r="G6" t="inlineStr">
        <is>
          <t>Corrigido</t>
        </is>
      </c>
      <c r="H6" t="inlineStr">
        <is>
          <t>tab_renamed</t>
        </is>
      </c>
      <c r="I6" t="inlineStr">
        <is>
          <t>Histórico de metas</t>
        </is>
      </c>
    </row>
    <row r="7">
      <c r="A7" s="46" t="n">
        <v>46294.5</v>
      </c>
      <c r="B7" t="inlineStr">
        <is>
          <t>Info</t>
        </is>
      </c>
      <c r="C7" t="inlineStr">
        <is>
          <t>Fichas</t>
        </is>
      </c>
      <c r="E7" t="inlineStr">
        <is>
          <t>Aba "Histórico de fichas" renomeada para "Fichas" (mesma aba: links e gráficos continuam).</t>
        </is>
      </c>
      <c r="F7" t="inlineStr">
        <is>
          <t>Renomeada no lugar.</t>
        </is>
      </c>
      <c r="G7" t="inlineStr">
        <is>
          <t>Corrigido</t>
        </is>
      </c>
      <c r="H7" t="inlineStr">
        <is>
          <t>tab_renamed</t>
        </is>
      </c>
      <c r="I7" t="inlineStr">
        <is>
          <t>Histórico de fichas</t>
        </is>
      </c>
    </row>
    <row r="8">
      <c r="A8" s="46" t="n">
        <v>46294.5</v>
      </c>
      <c r="B8" t="inlineStr">
        <is>
          <t>Info</t>
        </is>
      </c>
      <c r="C8" t="inlineStr">
        <is>
          <t>Config</t>
        </is>
      </c>
      <c r="E8" t="inlineStr">
        <is>
          <t>Aba "Macros e perfil" renomeada para "Config" (mesma aba: links e gráficos continuam).</t>
        </is>
      </c>
      <c r="F8" t="inlineStr">
        <is>
          <t>Renomeada no lugar.</t>
        </is>
      </c>
      <c r="G8" t="inlineStr">
        <is>
          <t>Corrigido</t>
        </is>
      </c>
      <c r="H8" t="inlineStr">
        <is>
          <t>tab_renamed</t>
        </is>
      </c>
      <c r="I8" t="inlineStr">
        <is>
          <t>Macros e perfil</t>
        </is>
      </c>
    </row>
    <row r="9">
      <c r="A9" s="46" t="n">
        <v>46294.5</v>
      </c>
      <c r="B9" t="inlineStr">
        <is>
          <t>Info</t>
        </is>
      </c>
      <c r="C9" t="inlineStr">
        <is>
          <t>Guia</t>
        </is>
      </c>
      <c r="E9" t="inlineStr">
        <is>
          <t>Aba "Guia e fontes" renomeada para "Guia" (mesma aba: links e gráficos continuam).</t>
        </is>
      </c>
      <c r="F9" t="inlineStr">
        <is>
          <t>Renomeada no lugar.</t>
        </is>
      </c>
      <c r="G9" t="inlineStr">
        <is>
          <t>Corrigido</t>
        </is>
      </c>
      <c r="H9" t="inlineStr">
        <is>
          <t>tab_renamed</t>
        </is>
      </c>
      <c r="I9" t="inlineStr">
        <is>
          <t>Guia e fontes</t>
        </is>
      </c>
    </row>
    <row r="10">
      <c r="A10" s="46" t="n">
        <v>46294.5</v>
      </c>
      <c r="B10" t="inlineStr">
        <is>
          <t>Info</t>
        </is>
      </c>
      <c r="C10" t="inlineStr">
        <is>
          <t>Evolução</t>
        </is>
      </c>
      <c r="E10" t="inlineStr">
        <is>
          <t>Aba "Evolução" criada.</t>
        </is>
      </c>
      <c r="F10" t="inlineStr">
        <is>
          <t>Criada com título, ajuda e cabeçalho da 4.0.</t>
        </is>
      </c>
      <c r="G10" t="inlineStr">
        <is>
          <t>Corrigido</t>
        </is>
      </c>
      <c r="H10" t="inlineStr">
        <is>
          <t>tab_created</t>
        </is>
      </c>
    </row>
    <row r="11">
      <c r="A11" s="46" t="n">
        <v>46294.5</v>
      </c>
      <c r="B11" t="inlineStr">
        <is>
          <t>Info</t>
        </is>
      </c>
      <c r="C11" t="inlineStr">
        <is>
          <t>Objetivos</t>
        </is>
      </c>
      <c r="E11" t="inlineStr">
        <is>
          <t>Aba "Objetivos" criada.</t>
        </is>
      </c>
      <c r="F11" t="inlineStr">
        <is>
          <t>Criada com título, ajuda e cabeçalho da 4.0.</t>
        </is>
      </c>
      <c r="G11" t="inlineStr">
        <is>
          <t>Corrigido</t>
        </is>
      </c>
      <c r="H11" t="inlineStr">
        <is>
          <t>tab_created</t>
        </is>
      </c>
    </row>
    <row r="12">
      <c r="A12" s="46" t="n">
        <v>46294.5</v>
      </c>
      <c r="B12" t="inlineStr">
        <is>
          <t>Info</t>
        </is>
      </c>
      <c r="C12" t="inlineStr">
        <is>
          <t>Auditoria</t>
        </is>
      </c>
      <c r="E12" t="inlineStr">
        <is>
          <t>Aba "Auditoria" criada.</t>
        </is>
      </c>
      <c r="F12" t="inlineStr">
        <is>
          <t>Criada com título, ajuda e cabeçalho da 4.0.</t>
        </is>
      </c>
      <c r="G12" t="inlineStr">
        <is>
          <t>Corrigido</t>
        </is>
      </c>
      <c r="H12" t="inlineStr">
        <is>
          <t>tab_created</t>
        </is>
      </c>
    </row>
    <row r="13">
      <c r="A13" s="46" t="n">
        <v>46294.5</v>
      </c>
      <c r="B13" t="inlineStr">
        <is>
          <t>Info</t>
        </is>
      </c>
      <c r="C13" t="inlineStr">
        <is>
          <t>Config</t>
        </is>
      </c>
      <c r="D13" t="inlineStr">
        <is>
          <t>A2:A3</t>
        </is>
      </c>
      <c r="E13" t="inlineStr">
        <is>
          <t>Título e ajuda da aba trocados pelos da 4.0 (sem nomes de cliente nem textos da 3.0).</t>
        </is>
      </c>
      <c r="F13" t="inlineStr">
        <is>
          <t>Reescritos.</t>
        </is>
      </c>
      <c r="G13" t="inlineStr">
        <is>
          <t>Corrigido</t>
        </is>
      </c>
      <c r="H13" t="inlineStr">
        <is>
          <t>title_help</t>
        </is>
      </c>
      <c r="I13" t="inlineStr">
        <is>
          <t>Projeto Breno : perfil e referências iniciais | Para mudar metas após o início, use Nova meta na tela Hoje. O histórico preserva os dias já salvos.</t>
        </is>
      </c>
    </row>
    <row r="14">
      <c r="A14" s="46" t="n">
        <v>46294.5</v>
      </c>
      <c r="B14" t="inlineStr">
        <is>
          <t>Info</t>
        </is>
      </c>
      <c r="C14" t="inlineStr">
        <is>
          <t>Config</t>
        </is>
      </c>
      <c r="D14" t="inlineStr">
        <is>
          <t>linha 6</t>
        </is>
      </c>
      <c r="E14" t="inlineStr">
        <is>
          <t>Linha do perfil 3.0: Nome.</t>
        </is>
      </c>
      <c r="F14" t="inlineStr">
        <is>
          <t>Virou client.name = Breno (da configuração do cliente).</t>
        </is>
      </c>
      <c r="G14" t="inlineStr">
        <is>
          <t>Corrigido</t>
        </is>
      </c>
      <c r="H14" t="inlineStr">
        <is>
          <t>profile_archived</t>
        </is>
      </c>
      <c r="I14" t="inlineStr">
        <is>
          <t>Nome | Breno | Informado no chat</t>
        </is>
      </c>
    </row>
    <row r="15">
      <c r="A15" s="46" t="n">
        <v>46294.5</v>
      </c>
      <c r="B15" t="inlineStr">
        <is>
          <t>Info</t>
        </is>
      </c>
      <c r="C15" t="inlineStr">
        <is>
          <t>Config</t>
        </is>
      </c>
      <c r="D15" t="inlineStr">
        <is>
          <t>linha 7</t>
        </is>
      </c>
      <c r="E15" t="inlineStr">
        <is>
          <t>Linha do perfil 3.0: Idade.</t>
        </is>
      </c>
      <c r="F15" t="inlineStr">
        <is>
          <t>Virou client.age = 24 (da configuração do cliente).</t>
        </is>
      </c>
      <c r="G15" t="inlineStr">
        <is>
          <t>Corrigido</t>
        </is>
      </c>
      <c r="H15" t="inlineStr">
        <is>
          <t>profile_archived</t>
        </is>
      </c>
      <c r="I15" t="inlineStr">
        <is>
          <t>Idade | 24 | anos | 24 no cadastro; confirmar quando oportuno.</t>
        </is>
      </c>
    </row>
    <row r="16">
      <c r="A16" s="46" t="n">
        <v>46294.5</v>
      </c>
      <c r="B16" t="inlineStr">
        <is>
          <t>Info</t>
        </is>
      </c>
      <c r="C16" t="inlineStr">
        <is>
          <t>Config</t>
        </is>
      </c>
      <c r="D16" t="inlineStr">
        <is>
          <t>linha 8</t>
        </is>
      </c>
      <c r="E16" t="inlineStr">
        <is>
          <t>Linha do perfil 3.0: Altura.</t>
        </is>
      </c>
      <c r="F16" t="inlineStr">
        <is>
          <t>Virou client.heightCm = 179 (da configuração do cliente; convertido para cm).</t>
        </is>
      </c>
      <c r="G16" t="inlineStr">
        <is>
          <t>Corrigido</t>
        </is>
      </c>
      <c r="H16" t="inlineStr">
        <is>
          <t>profile_archived</t>
        </is>
      </c>
      <c r="I16" t="inlineStr">
        <is>
          <t>Altura | 1.79 | m | Informado</t>
        </is>
      </c>
    </row>
    <row r="17">
      <c r="A17" s="46" t="n">
        <v>46294.5</v>
      </c>
      <c r="B17" t="inlineStr">
        <is>
          <t>Info</t>
        </is>
      </c>
      <c r="C17" t="inlineStr">
        <is>
          <t>Config</t>
        </is>
      </c>
      <c r="D17" t="inlineStr">
        <is>
          <t>linha 9</t>
        </is>
      </c>
      <c r="E17" t="inlineStr">
        <is>
          <t>Linha do perfil 3.0: Peso inicial.</t>
        </is>
      </c>
      <c r="F17" t="inlineStr">
        <is>
          <t>Virou client.startWeightKg = 67 (da configuração do cliente).</t>
        </is>
      </c>
      <c r="G17" t="inlineStr">
        <is>
          <t>Corrigido</t>
        </is>
      </c>
      <c r="H17" t="inlineStr">
        <is>
          <t>profile_archived</t>
        </is>
      </c>
      <c r="I17" t="inlineStr">
        <is>
          <t>Peso inicial | 67 | kg | Informado; não é medição datada</t>
        </is>
      </c>
    </row>
    <row r="18">
      <c r="A18" s="46" t="n">
        <v>46294.5</v>
      </c>
      <c r="B18" t="inlineStr">
        <is>
          <t>Info</t>
        </is>
      </c>
      <c r="C18" t="inlineStr">
        <is>
          <t>Config</t>
        </is>
      </c>
      <c r="D18" t="inlineStr">
        <is>
          <t>linha 10</t>
        </is>
      </c>
      <c r="E18" t="inlineStr">
        <is>
          <t>Linha do perfil 3.0: Início do acompanhamento.</t>
        </is>
      </c>
      <c r="F18" t="inlineStr">
        <is>
          <t>Virou client.startDate = 21/09/2026 (da configuração do cliente).</t>
        </is>
      </c>
      <c r="G18" t="inlineStr">
        <is>
          <t>Corrigido</t>
        </is>
      </c>
      <c r="H18" t="inlineStr">
        <is>
          <t>profile_archived</t>
        </is>
      </c>
      <c r="I18" t="inlineStr">
        <is>
          <t>Início do acompanhamento | 21/09/2026 | data | Data do primeiro registro. O histórico usa datas reais.</t>
        </is>
      </c>
    </row>
    <row r="19">
      <c r="A19" s="46" t="n">
        <v>46294.5</v>
      </c>
      <c r="B19" t="inlineStr">
        <is>
          <t>Info</t>
        </is>
      </c>
      <c r="C19" t="inlineStr">
        <is>
          <t>Config</t>
        </is>
      </c>
      <c r="D19" t="inlineStr">
        <is>
          <t>linha 11</t>
        </is>
      </c>
      <c r="E19" t="inlineStr">
        <is>
          <t>Linha do perfil 3.0: Meta de musculação.</t>
        </is>
      </c>
      <c r="F19" t="inlineStr">
        <is>
          <t>Virou routine.strengthPerWeek = 3 (da configuração do cliente).</t>
        </is>
      </c>
      <c r="G19" t="inlineStr">
        <is>
          <t>Corrigido</t>
        </is>
      </c>
      <c r="H19" t="inlineStr">
        <is>
          <t>profile_archived</t>
        </is>
      </c>
      <c r="I19" t="inlineStr">
        <is>
          <t>Meta de musculação | 3 | sessões/semana | Ajustar se a recuperação exigir</t>
        </is>
      </c>
    </row>
    <row r="20">
      <c r="A20" s="46" t="n">
        <v>46294.5</v>
      </c>
      <c r="B20" t="inlineStr">
        <is>
          <t>Info</t>
        </is>
      </c>
      <c r="C20" t="inlineStr">
        <is>
          <t>Config</t>
        </is>
      </c>
      <c r="D20" t="inlineStr">
        <is>
          <t>linha 12</t>
        </is>
      </c>
      <c r="E20" t="inlineStr">
        <is>
          <t>Linha do perfil 3.0: Muay Thai.</t>
        </is>
      </c>
      <c r="F20" t="inlineStr">
        <is>
          <t>Arquivado aqui; fatos do perfil ficam em client.notes.</t>
        </is>
      </c>
      <c r="G20" t="inlineStr">
        <is>
          <t>Corrigido</t>
        </is>
      </c>
      <c r="H20" t="inlineStr">
        <is>
          <t>profile_archived</t>
        </is>
      </c>
      <c r="I20" t="inlineStr">
        <is>
          <t>Muay Thai | 2 | sessões/semana | Dias exatos a confirmar</t>
        </is>
      </c>
    </row>
    <row r="21">
      <c r="A21" s="46" t="n">
        <v>46294.5</v>
      </c>
      <c r="B21" t="inlineStr">
        <is>
          <t>Info</t>
        </is>
      </c>
      <c r="C21" t="inlineStr">
        <is>
          <t>Config</t>
        </is>
      </c>
      <c r="D21" t="inlineStr">
        <is>
          <t>linha 13</t>
        </is>
      </c>
      <c r="E21" t="inlineStr">
        <is>
          <t>Linha do perfil 3.0: Cardio extra.</t>
        </is>
      </c>
      <c r="F21" t="inlineStr">
        <is>
          <t>Virou routine.cardioPerWeek = 0 (da configuração do cliente).</t>
        </is>
      </c>
      <c r="G21" t="inlineStr">
        <is>
          <t>Corrigido</t>
        </is>
      </c>
      <c r="H21" t="inlineStr">
        <is>
          <t>profile_archived</t>
        </is>
      </c>
      <c r="I21" t="inlineStr">
        <is>
          <t>Cardio extra | 0 | sessões/semana | Sem cardio extra inicialmente</t>
        </is>
      </c>
    </row>
    <row r="22">
      <c r="A22" s="46" t="n">
        <v>46294.5</v>
      </c>
      <c r="B22" t="inlineStr">
        <is>
          <t>Info</t>
        </is>
      </c>
      <c r="C22" t="inlineStr">
        <is>
          <t>Config</t>
        </is>
      </c>
      <c r="D22" t="inlineStr">
        <is>
          <t>linha 14</t>
        </is>
      </c>
      <c r="E22" t="inlineStr">
        <is>
          <t>Linha do perfil 3.0: Proteína de referência.</t>
        </is>
      </c>
      <c r="F22" t="inlineStr">
        <is>
          <t>Meta: agora na aba Metas (versão em vigor).</t>
        </is>
      </c>
      <c r="G22" t="inlineStr">
        <is>
          <t>Corrigido</t>
        </is>
      </c>
      <c r="H22" t="inlineStr">
        <is>
          <t>profile_archived</t>
        </is>
      </c>
      <c r="I22" t="inlineStr">
        <is>
          <t>Proteína de referência | 140 | g/dia | Referência inicial. Metas vigentes e alterações ficam em Histórico de metas.</t>
        </is>
      </c>
    </row>
    <row r="23">
      <c r="A23" s="46" t="n">
        <v>46294.5</v>
      </c>
      <c r="B23" t="inlineStr">
        <is>
          <t>Info</t>
        </is>
      </c>
      <c r="C23" t="inlineStr">
        <is>
          <t>Config</t>
        </is>
      </c>
      <c r="D23" t="inlineStr">
        <is>
          <t>linha 15</t>
        </is>
      </c>
      <c r="E23" t="inlineStr">
        <is>
          <t>Linha do perfil 3.0: Proteína faixa inferior.</t>
        </is>
      </c>
      <c r="F23" t="inlineStr">
        <is>
          <t>Meta: agora na aba Metas (versão em vigor).</t>
        </is>
      </c>
      <c r="G23" t="inlineStr">
        <is>
          <t>Corrigido</t>
        </is>
      </c>
      <c r="H23" t="inlineStr">
        <is>
          <t>profile_archived</t>
        </is>
      </c>
      <c r="I23" t="inlineStr">
        <is>
          <t>Proteína faixa inferior | 135 | g/dia | Faixa discutida no chat</t>
        </is>
      </c>
    </row>
    <row r="24">
      <c r="A24" s="46" t="n">
        <v>46294.5</v>
      </c>
      <c r="B24" t="inlineStr">
        <is>
          <t>Info</t>
        </is>
      </c>
      <c r="C24" t="inlineStr">
        <is>
          <t>Config</t>
        </is>
      </c>
      <c r="D24" t="inlineStr">
        <is>
          <t>linha 16</t>
        </is>
      </c>
      <c r="E24" t="inlineStr">
        <is>
          <t>Linha do perfil 3.0: Proteína faixa superior.</t>
        </is>
      </c>
      <c r="F24" t="inlineStr">
        <is>
          <t>Meta: agora na aba Metas (versão em vigor).</t>
        </is>
      </c>
      <c r="G24" t="inlineStr">
        <is>
          <t>Corrigido</t>
        </is>
      </c>
      <c r="H24" t="inlineStr">
        <is>
          <t>profile_archived</t>
        </is>
      </c>
      <c r="I24" t="inlineStr">
        <is>
          <t>Proteína faixa superior | 145 | g/dia | Faixa discutida no chat</t>
        </is>
      </c>
    </row>
    <row r="25">
      <c r="A25" s="46" t="n">
        <v>46294.5</v>
      </c>
      <c r="B25" t="inlineStr">
        <is>
          <t>Info</t>
        </is>
      </c>
      <c r="C25" t="inlineStr">
        <is>
          <t>Config</t>
        </is>
      </c>
      <c r="D25" t="inlineStr">
        <is>
          <t>linha 17</t>
        </is>
      </c>
      <c r="E25" t="inlineStr">
        <is>
          <t>Linha do perfil 3.0: Energia de referência.</t>
        </is>
      </c>
      <c r="F25" t="inlineStr">
        <is>
          <t>Meta: agora na aba Metas (versão em vigor).</t>
        </is>
      </c>
      <c r="G25" t="inlineStr">
        <is>
          <t>Corrigido</t>
        </is>
      </c>
      <c r="H25" t="inlineStr">
        <is>
          <t>profile_archived</t>
        </is>
      </c>
      <c r="I25" t="inlineStr">
        <is>
          <t>Energia de referência | 2400 | kcal/dia | Referência inicial; novas metas devem ser criadas pelo botão Nova meta.</t>
        </is>
      </c>
    </row>
    <row r="26">
      <c r="A26" s="46" t="n">
        <v>46294.5</v>
      </c>
      <c r="B26" t="inlineStr">
        <is>
          <t>Info</t>
        </is>
      </c>
      <c r="C26" t="inlineStr">
        <is>
          <t>Config</t>
        </is>
      </c>
      <c r="D26" t="inlineStr">
        <is>
          <t>linha 18</t>
        </is>
      </c>
      <c r="E26" t="inlineStr">
        <is>
          <t>Linha do perfil 3.0: Gordura de referência.</t>
        </is>
      </c>
      <c r="F26" t="inlineStr">
        <is>
          <t>Meta: agora na aba Metas (versão em vigor).</t>
        </is>
      </c>
      <c r="G26" t="inlineStr">
        <is>
          <t>Corrigido</t>
        </is>
      </c>
      <c r="H26" t="inlineStr">
        <is>
          <t>profile_archived</t>
        </is>
      </c>
      <c r="I26" t="inlineStr">
        <is>
          <t>Gordura de referência | 65 | g/dia | Faixa discutida: 60–70 g/dia</t>
        </is>
      </c>
    </row>
    <row r="27">
      <c r="A27" s="46" t="n">
        <v>46294.5</v>
      </c>
      <c r="B27" t="inlineStr">
        <is>
          <t>Info</t>
        </is>
      </c>
      <c r="C27" t="inlineStr">
        <is>
          <t>Config</t>
        </is>
      </c>
      <c r="D27" t="inlineStr">
        <is>
          <t>linha 19</t>
        </is>
      </c>
      <c r="E27" t="inlineStr">
        <is>
          <t>Linha do perfil 3.0: Carboidrato de referência.</t>
        </is>
      </c>
      <c r="F27" t="inlineStr">
        <is>
          <t>Arquivado aqui; fatos do perfil ficam em client.notes.</t>
        </is>
      </c>
      <c r="G27" t="inlineStr">
        <is>
          <t>Corrigido</t>
        </is>
      </c>
      <c r="H27" t="inlineStr">
        <is>
          <t>profile_archived</t>
        </is>
      </c>
      <c r="I27" t="inlineStr">
        <is>
          <t>Carboidrato de referência | '=IF(OR(B17="",B18="",B14=""),"",(B17-4*B14-9*B18)/4) | g/dia | Calculado pelo saldo de energia após proteína e gordura</t>
        </is>
      </c>
    </row>
    <row r="28">
      <c r="A28" s="46" t="n">
        <v>46294.5</v>
      </c>
      <c r="B28" t="inlineStr">
        <is>
          <t>Info</t>
        </is>
      </c>
      <c r="C28" t="inlineStr">
        <is>
          <t>Config</t>
        </is>
      </c>
      <c r="D28" t="inlineStr">
        <is>
          <t>linha 20</t>
        </is>
      </c>
      <c r="E28" t="inlineStr">
        <is>
          <t>Linha do perfil 3.0: Proteína / peso inicial.</t>
        </is>
      </c>
      <c r="F28" t="inlineStr">
        <is>
          <t>Arquivado aqui; fatos do perfil ficam em client.notes.</t>
        </is>
      </c>
      <c r="G28" t="inlineStr">
        <is>
          <t>Corrigido</t>
        </is>
      </c>
      <c r="H28" t="inlineStr">
        <is>
          <t>profile_archived</t>
        </is>
      </c>
      <c r="I28" t="inlineStr">
        <is>
          <t>Proteína / peso inicial | '=IF(OR(B9="",B14=""),"",B14/B9) | g/kg/dia | Calculado a partir da referência, sem estimar gasto</t>
        </is>
      </c>
    </row>
    <row r="29">
      <c r="A29" s="46" t="n">
        <v>46294.5</v>
      </c>
      <c r="B29" t="inlineStr">
        <is>
          <t>Info</t>
        </is>
      </c>
      <c r="C29" t="inlineStr">
        <is>
          <t>Config</t>
        </is>
      </c>
      <c r="D29" t="inlineStr">
        <is>
          <t>linha 21</t>
        </is>
      </c>
      <c r="E29" t="inlineStr">
        <is>
          <t>Linha do perfil 3.0: Creatina planejada.</t>
        </is>
      </c>
      <c r="F29" t="inlineStr">
        <is>
          <t>Arquivado aqui; fatos do perfil ficam em client.notes.</t>
        </is>
      </c>
      <c r="G29" t="inlineStr">
        <is>
          <t>Corrigido</t>
        </is>
      </c>
      <c r="H29" t="inlineStr">
        <is>
          <t>profile_archived</t>
        </is>
      </c>
      <c r="I29" t="inlineStr">
        <is>
          <t>Creatina planejada | g/dia | Uso não confirmado no chat do Breno</t>
        </is>
      </c>
    </row>
    <row r="30">
      <c r="A30" s="46" t="n">
        <v>46294.5</v>
      </c>
      <c r="B30" t="inlineStr">
        <is>
          <t>Info</t>
        </is>
      </c>
      <c r="C30" t="inlineStr">
        <is>
          <t>Config</t>
        </is>
      </c>
      <c r="D30" t="inlineStr">
        <is>
          <t>linha 22</t>
        </is>
      </c>
      <c r="E30" t="inlineStr">
        <is>
          <t>Linha do perfil 3.0: Início da creatina.</t>
        </is>
      </c>
      <c r="F30" t="inlineStr">
        <is>
          <t>Arquivado aqui; fatos do perfil ficam em client.notes.</t>
        </is>
      </c>
      <c r="G30" t="inlineStr">
        <is>
          <t>Corrigido</t>
        </is>
      </c>
      <c r="H30" t="inlineStr">
        <is>
          <t>profile_archived</t>
        </is>
      </c>
      <c r="I30" t="inlineStr">
        <is>
          <t>Início da creatina | data | Ajuda a interpretar mudanças de água corporal</t>
        </is>
      </c>
    </row>
    <row r="31">
      <c r="A31" s="46" t="n">
        <v>46294.5</v>
      </c>
      <c r="B31" t="inlineStr">
        <is>
          <t>Info</t>
        </is>
      </c>
      <c r="C31" t="inlineStr">
        <is>
          <t>Config</t>
        </is>
      </c>
      <c r="D31" t="inlineStr">
        <is>
          <t>linha 23</t>
        </is>
      </c>
      <c r="E31" t="inlineStr">
        <is>
          <t>Linha do perfil 3.0: Saúde.</t>
        </is>
      </c>
      <c r="F31" t="inlineStr">
        <is>
          <t>Arquivado aqui; fatos do perfil ficam em client.notes.</t>
        </is>
      </c>
      <c r="G31" t="inlineStr">
        <is>
          <t>Corrigido</t>
        </is>
      </c>
      <c r="H31" t="inlineStr">
        <is>
          <t>profile_archived</t>
        </is>
      </c>
      <c r="I31" t="inlineStr">
        <is>
          <t>Saúde | Não informado | Relato, não avaliação clínica</t>
        </is>
      </c>
    </row>
    <row r="32">
      <c r="A32" s="46" t="n">
        <v>46294.5</v>
      </c>
      <c r="B32" t="inlineStr">
        <is>
          <t>Info</t>
        </is>
      </c>
      <c r="C32" t="inlineStr">
        <is>
          <t>Config</t>
        </is>
      </c>
      <c r="D32" t="inlineStr">
        <is>
          <t>linha 24</t>
        </is>
      </c>
      <c r="E32" t="inlineStr">
        <is>
          <t>Linha do perfil 3.0: Tabagismo.</t>
        </is>
      </c>
      <c r="F32" t="inlineStr">
        <is>
          <t>Arquivado aqui; fatos do perfil ficam em client.notes.</t>
        </is>
      </c>
      <c r="G32" t="inlineStr">
        <is>
          <t>Corrigido</t>
        </is>
      </c>
      <c r="H32" t="inlineStr">
        <is>
          <t>profile_archived</t>
        </is>
      </c>
      <c r="I32" t="inlineStr">
        <is>
          <t>Tabagismo | Não informado | Não informado para Breno.</t>
        </is>
      </c>
    </row>
    <row r="33">
      <c r="A33" s="46" t="n">
        <v>46294.5</v>
      </c>
      <c r="B33" t="inlineStr">
        <is>
          <t>Info</t>
        </is>
      </c>
      <c r="C33" t="inlineStr">
        <is>
          <t>Config</t>
        </is>
      </c>
      <c r="D33" t="inlineStr">
        <is>
          <t>linha 25</t>
        </is>
      </c>
      <c r="E33" t="inlineStr">
        <is>
          <t>Linha do perfil 3.0: Rotina.</t>
        </is>
      </c>
      <c r="F33" t="inlineStr">
        <is>
          <t>Arquivado aqui; fatos do perfil ficam em client.notes.</t>
        </is>
      </c>
      <c r="G33" t="inlineStr">
        <is>
          <t>Corrigido</t>
        </is>
      </c>
      <c r="H33" t="inlineStr">
        <is>
          <t>profile_archived</t>
        </is>
      </c>
      <c r="I33" t="inlineStr">
        <is>
          <t>Rotina | Pouca caminhada | Rotina individual do Breno.</t>
        </is>
      </c>
    </row>
    <row r="34">
      <c r="A34" s="46" t="n">
        <v>46294.5</v>
      </c>
      <c r="B34" t="inlineStr">
        <is>
          <t>Info</t>
        </is>
      </c>
      <c r="C34" t="inlineStr">
        <is>
          <t>Config</t>
        </is>
      </c>
      <c r="D34" t="inlineStr">
        <is>
          <t>linha 26</t>
        </is>
      </c>
      <c r="E34" t="inlineStr">
        <is>
          <t>Linha do perfil 3.0: Objetivo.</t>
        </is>
      </c>
      <c r="F34" t="inlineStr">
        <is>
          <t>Objetivo: agora na aba Objetivos.</t>
        </is>
      </c>
      <c r="G34" t="inlineStr">
        <is>
          <t>Corrigido</t>
        </is>
      </c>
      <c r="H34" t="inlineStr">
        <is>
          <t>profile_archived</t>
        </is>
      </c>
      <c r="I34" t="inlineStr">
        <is>
          <t>Objetivo | Recomposição corporal | Ganhar músculo e acompanhar cintura, desempenho e recuperação</t>
        </is>
      </c>
    </row>
    <row r="35">
      <c r="A35" s="46" t="n">
        <v>46294.5</v>
      </c>
      <c r="B35" t="inlineStr">
        <is>
          <t>Info</t>
        </is>
      </c>
      <c r="C35" t="inlineStr">
        <is>
          <t>Config</t>
        </is>
      </c>
      <c r="D35" t="inlineStr">
        <is>
          <t>linha 27</t>
        </is>
      </c>
      <c r="E35" t="inlineStr">
        <is>
          <t>Linha do perfil 3.0: Status da ficha.</t>
        </is>
      </c>
      <c r="F35" t="inlineStr">
        <is>
          <t>Status digitado retirado: o status da ficha é derivado da aba Fichas.</t>
        </is>
      </c>
      <c r="G35" t="inlineStr">
        <is>
          <t>Corrigido</t>
        </is>
      </c>
      <c r="H35" t="inlineStr">
        <is>
          <t>profile_archived</t>
        </is>
      </c>
      <c r="I35" t="inlineStr">
        <is>
          <t>Status da ficha | F002 — vigente desde 28/09/2026 | Luan revisa exercícios, séries e recuperação</t>
        </is>
      </c>
    </row>
    <row r="36">
      <c r="A36" s="46" t="n">
        <v>46294.5</v>
      </c>
      <c r="B36" t="inlineStr">
        <is>
          <t>Info</t>
        </is>
      </c>
      <c r="C36" t="inlineStr">
        <is>
          <t>Config</t>
        </is>
      </c>
      <c r="D36" t="inlineStr">
        <is>
          <t>linha 28</t>
        </is>
      </c>
      <c r="E36" t="inlineStr">
        <is>
          <t>Linha do perfil 3.0: Revisor.</t>
        </is>
      </c>
      <c r="F36" t="inlineStr">
        <is>
          <t>Virou client.reviewer = Luan (da configuração do cliente).</t>
        </is>
      </c>
      <c r="G36" t="inlineStr">
        <is>
          <t>Corrigido</t>
        </is>
      </c>
      <c r="H36" t="inlineStr">
        <is>
          <t>profile_archived</t>
        </is>
      </c>
      <c r="I36" t="inlineStr">
        <is>
          <t>Revisor | Luan | Preencher data de revisão na aba Revisões</t>
        </is>
      </c>
    </row>
    <row r="37">
      <c r="A37" s="46" t="n">
        <v>46294.5</v>
      </c>
      <c r="B37" t="inlineStr">
        <is>
          <t>Info</t>
        </is>
      </c>
      <c r="C37" t="inlineStr">
        <is>
          <t>Config</t>
        </is>
      </c>
      <c r="D37" t="inlineStr">
        <is>
          <t>linha 29</t>
        </is>
      </c>
      <c r="E37" t="inlineStr">
        <is>
          <t>Linha do perfil 3.0: Versão.</t>
        </is>
      </c>
      <c r="F37" t="inlineStr">
        <is>
          <t>Texto de versão da 3.0 retirado (a versão fica em system.schemaVersion).</t>
        </is>
      </c>
      <c r="G37" t="inlineStr">
        <is>
          <t>Corrigido</t>
        </is>
      </c>
      <c r="H37" t="inlineStr">
        <is>
          <t>profile_archived</t>
        </is>
      </c>
      <c r="I37" t="inlineStr">
        <is>
          <t>Versão | 3.0 — Google Sheets / work sets | Criada em 15/09/2026</t>
        </is>
      </c>
    </row>
    <row r="38">
      <c r="A38" s="46" t="n">
        <v>46294.5</v>
      </c>
      <c r="B38" t="inlineStr">
        <is>
          <t>Info</t>
        </is>
      </c>
      <c r="C38" t="inlineStr">
        <is>
          <t>Config</t>
        </is>
      </c>
      <c r="D38" t="inlineStr">
        <is>
          <t>linha 30</t>
        </is>
      </c>
      <c r="E38" t="inlineStr">
        <is>
          <t>Linha do perfil 3.0: Semanas disponíveis.</t>
        </is>
      </c>
      <c r="F38" t="inlineStr">
        <is>
          <t>Arquivado aqui; fatos do perfil ficam em client.notes.</t>
        </is>
      </c>
      <c r="G38" t="inlineStr">
        <is>
          <t>Corrigido</t>
        </is>
      </c>
      <c r="H38" t="inlineStr">
        <is>
          <t>profile_archived</t>
        </is>
      </c>
      <c r="I38" t="inlineStr">
        <is>
          <t>Semanas disponíveis | Expansível | semanas | Tabelas crescem ao salvar. Cadastros: use Tab na última célula da tabela.</t>
        </is>
      </c>
    </row>
    <row r="39">
      <c r="A39" s="46" t="n">
        <v>46294.5</v>
      </c>
      <c r="B39" t="inlineStr">
        <is>
          <t>Info</t>
        </is>
      </c>
      <c r="C39" t="inlineStr">
        <is>
          <t>Config</t>
        </is>
      </c>
      <c r="D39" t="inlineStr">
        <is>
          <t>linha 33</t>
        </is>
      </c>
      <c r="E39" t="inlineStr">
        <is>
          <t>Linha do perfil 3.0: Total da dieta base.</t>
        </is>
      </c>
      <c r="F39" t="inlineStr">
        <is>
          <t>Arquivado aqui; fatos do perfil ficam em client.notes.</t>
        </is>
      </c>
      <c r="G39" t="inlineStr">
        <is>
          <t>Corrigido</t>
        </is>
      </c>
      <c r="H39" t="inlineStr">
        <is>
          <t>profile_archived</t>
        </is>
      </c>
      <c r="I39" t="inlineStr">
        <is>
          <t>Total da dieta base | Calculado | Unidade | Leitura</t>
        </is>
      </c>
    </row>
    <row r="40">
      <c r="A40" s="46" t="n">
        <v>46294.5</v>
      </c>
      <c r="B40" t="inlineStr">
        <is>
          <t>Info</t>
        </is>
      </c>
      <c r="C40" t="inlineStr">
        <is>
          <t>Config</t>
        </is>
      </c>
      <c r="D40" t="inlineStr">
        <is>
          <t>linha 34</t>
        </is>
      </c>
      <c r="E40" t="inlineStr">
        <is>
          <t>Linha do perfil 3.0: Energia proposta.</t>
        </is>
      </c>
      <c r="F40" t="inlineStr">
        <is>
          <t>Arquivado aqui; fatos do perfil ficam em client.notes.</t>
        </is>
      </c>
      <c r="G40" t="inlineStr">
        <is>
          <t>Corrigido</t>
        </is>
      </c>
      <c r="H40" t="inlineStr">
        <is>
          <t>profile_archived</t>
        </is>
      </c>
      <c r="I40" t="inlineStr">
        <is>
          <t>Energia proposta | '='Dieta base'!E31 | kcal | Comparar com referência inicial de 2.400 kcal.</t>
        </is>
      </c>
    </row>
    <row r="41">
      <c r="A41" s="46" t="n">
        <v>46294.5</v>
      </c>
      <c r="B41" t="inlineStr">
        <is>
          <t>Info</t>
        </is>
      </c>
      <c r="C41" t="inlineStr">
        <is>
          <t>Config</t>
        </is>
      </c>
      <c r="D41" t="inlineStr">
        <is>
          <t>linha 35</t>
        </is>
      </c>
      <c r="E41" t="inlineStr">
        <is>
          <t>Linha do perfil 3.0: Proteína proposta.</t>
        </is>
      </c>
      <c r="F41" t="inlineStr">
        <is>
          <t>Arquivado aqui; fatos do perfil ficam em client.notes.</t>
        </is>
      </c>
      <c r="G41" t="inlineStr">
        <is>
          <t>Corrigido</t>
        </is>
      </c>
      <c r="H41" t="inlineStr">
        <is>
          <t>profile_archived</t>
        </is>
      </c>
      <c r="I41" t="inlineStr">
        <is>
          <t>Proteína proposta | '='Dieta base'!F31 | g</t>
        </is>
      </c>
    </row>
    <row r="42">
      <c r="A42" s="46" t="n">
        <v>46294.5</v>
      </c>
      <c r="B42" t="inlineStr">
        <is>
          <t>Info</t>
        </is>
      </c>
      <c r="C42" t="inlineStr">
        <is>
          <t>Config</t>
        </is>
      </c>
      <c r="D42" t="inlineStr">
        <is>
          <t>linha 36</t>
        </is>
      </c>
      <c r="E42" t="inlineStr">
        <is>
          <t>Linha do perfil 3.0: Carboidrato proposto.</t>
        </is>
      </c>
      <c r="F42" t="inlineStr">
        <is>
          <t>Arquivado aqui; fatos do perfil ficam em client.notes.</t>
        </is>
      </c>
      <c r="G42" t="inlineStr">
        <is>
          <t>Corrigido</t>
        </is>
      </c>
      <c r="H42" t="inlineStr">
        <is>
          <t>profile_archived</t>
        </is>
      </c>
      <c r="I42" t="inlineStr">
        <is>
          <t>Carboidrato proposto | '='Dieta base'!G31 | g</t>
        </is>
      </c>
    </row>
    <row r="43">
      <c r="A43" s="46" t="n">
        <v>46294.5</v>
      </c>
      <c r="B43" t="inlineStr">
        <is>
          <t>Info</t>
        </is>
      </c>
      <c r="C43" t="inlineStr">
        <is>
          <t>Config</t>
        </is>
      </c>
      <c r="D43" t="inlineStr">
        <is>
          <t>linha 37</t>
        </is>
      </c>
      <c r="E43" t="inlineStr">
        <is>
          <t>Linha do perfil 3.0: Gordura proposta.</t>
        </is>
      </c>
      <c r="F43" t="inlineStr">
        <is>
          <t>Arquivado aqui; fatos do perfil ficam em client.notes.</t>
        </is>
      </c>
      <c r="G43" t="inlineStr">
        <is>
          <t>Corrigido</t>
        </is>
      </c>
      <c r="H43" t="inlineStr">
        <is>
          <t>profile_archived</t>
        </is>
      </c>
      <c r="I43" t="inlineStr">
        <is>
          <t>Gordura proposta | '='Dieta base'!H31 | g</t>
        </is>
      </c>
    </row>
    <row r="44">
      <c r="A44" s="46" t="n">
        <v>46294.5</v>
      </c>
      <c r="B44" t="inlineStr">
        <is>
          <t>Info</t>
        </is>
      </c>
      <c r="C44" t="inlineStr">
        <is>
          <t>Config</t>
        </is>
      </c>
      <c r="D44" t="inlineStr">
        <is>
          <t>linha 38</t>
        </is>
      </c>
      <c r="E44" t="inlineStr">
        <is>
          <t>Linha do perfil 3.0: Fibra proposta.</t>
        </is>
      </c>
      <c r="F44" t="inlineStr">
        <is>
          <t>Arquivado aqui; fatos do perfil ficam em client.notes.</t>
        </is>
      </c>
      <c r="G44" t="inlineStr">
        <is>
          <t>Corrigido</t>
        </is>
      </c>
      <c r="H44" t="inlineStr">
        <is>
          <t>profile_archived</t>
        </is>
      </c>
      <c r="I44" t="inlineStr">
        <is>
          <t>Fibra proposta | '='Dieta base'!I31 | g | Aumentar fibras gradualmente conforme tolerância digestiva.</t>
        </is>
      </c>
    </row>
    <row r="45">
      <c r="A45" s="46" t="n">
        <v>46294.5</v>
      </c>
      <c r="B45" t="inlineStr">
        <is>
          <t>Info</t>
        </is>
      </c>
      <c r="C45" t="inlineStr">
        <is>
          <t>Config</t>
        </is>
      </c>
      <c r="D45" t="inlineStr">
        <is>
          <t>linha 5+</t>
        </is>
      </c>
      <c r="E45" t="inlineStr">
        <is>
          <t>Config 4.0 escrita: 19 valores da configuração do cliente, 0 do perfil 3.0, demais padrão.</t>
        </is>
      </c>
      <c r="F45" t="inlineStr">
        <is>
          <t>Perfil 3.0 arquivado nas linhas acima desta auditoria.</t>
        </is>
      </c>
      <c r="G45" t="inlineStr">
        <is>
          <t>Corrigido</t>
        </is>
      </c>
      <c r="H45" t="inlineStr">
        <is>
          <t>config_rebuilt</t>
        </is>
      </c>
    </row>
    <row r="46">
      <c r="A46" s="46" t="n">
        <v>46294.5</v>
      </c>
      <c r="B46" t="inlineStr">
        <is>
          <t>Info</t>
        </is>
      </c>
      <c r="C46" t="inlineStr">
        <is>
          <t>Progressão</t>
        </is>
      </c>
      <c r="D46" t="inlineStr">
        <is>
          <t>A2:A3</t>
        </is>
      </c>
      <c r="E46" t="inlineStr">
        <is>
          <t>Título e ajuda da aba trocados pelos da 4.0 (sem nomes de cliente nem textos da 3.0).</t>
        </is>
      </c>
      <c r="F46" t="inlineStr">
        <is>
          <t>Reescritos.</t>
        </is>
      </c>
      <c r="G46" t="inlineStr">
        <is>
          <t>Corrigido</t>
        </is>
      </c>
      <c r="H46" t="inlineStr">
        <is>
          <t>title_help</t>
        </is>
      </c>
    </row>
    <row r="47">
      <c r="A47" s="46" t="n">
        <v>46294.5</v>
      </c>
      <c r="B47" t="inlineStr">
        <is>
          <t>Info</t>
        </is>
      </c>
      <c r="C47" t="inlineStr">
        <is>
          <t>Progressão</t>
        </is>
      </c>
      <c r="D47" t="inlineStr">
        <is>
          <t>linha 7</t>
        </is>
      </c>
      <c r="E47" t="inlineStr">
        <is>
          <t>Conteúdo da 3.0 sem lugar na aba 4.0 (gerada pelo script) arquivado aqui.</t>
        </is>
      </c>
      <c r="F47" t="inlineStr">
        <is>
          <t>Texto citado nesta linha; células limpas.</t>
        </is>
      </c>
      <c r="G47" t="inlineStr">
        <is>
          <t>Corrigido</t>
        </is>
      </c>
      <c r="H47" t="inlineStr">
        <is>
          <t>layout_archived</t>
        </is>
      </c>
      <c r="I47" t="inlineStr">
        <is>
          <t>Compare apenas work sets do mesmo exercício e critério de carga. Atualize pelo menu Projeto.</t>
        </is>
      </c>
    </row>
    <row r="48">
      <c r="A48" s="46" t="n">
        <v>46294.5</v>
      </c>
      <c r="B48" t="inlineStr">
        <is>
          <t>Info</t>
        </is>
      </c>
      <c r="C48" t="inlineStr">
        <is>
          <t>Progressão</t>
        </is>
      </c>
      <c r="D48" t="inlineStr">
        <is>
          <t>linha 9</t>
        </is>
      </c>
      <c r="E48" t="inlineStr">
        <is>
          <t>Conteúdo da 3.0 sem lugar na aba 4.0 (gerada pelo script) arquivado aqui.</t>
        </is>
      </c>
      <c r="F48" t="inlineStr">
        <is>
          <t>Texto citado nesta linha; células limpas.</t>
        </is>
      </c>
      <c r="G48" t="inlineStr">
        <is>
          <t>Corrigido</t>
        </is>
      </c>
      <c r="H48" t="inlineStr">
        <is>
          <t>layout_archived</t>
        </is>
      </c>
      <c r="I48" t="inlineStr">
        <is>
          <t>Data | Ficha | Exercício | Work 1 kg | Work 1 reps | Work 2 kg | Work 2 reps | Volume work | Work sets | RIR work 1 | RIR work 2 | Sessão | Estado | Leitura</t>
        </is>
      </c>
    </row>
    <row r="49">
      <c r="A49" s="46" t="n">
        <v>46294.5</v>
      </c>
      <c r="B49" t="inlineStr">
        <is>
          <t>Info</t>
        </is>
      </c>
      <c r="C49" t="inlineStr">
        <is>
          <t>Progressão</t>
        </is>
      </c>
      <c r="D49" t="inlineStr">
        <is>
          <t>linha 33</t>
        </is>
      </c>
      <c r="E49" t="inlineStr">
        <is>
          <t>Conteúdo da 3.0 sem lugar na aba 4.0 (gerada pelo script) arquivado aqui.</t>
        </is>
      </c>
      <c r="F49" t="inlineStr">
        <is>
          <t>Texto citado nesta linha; células limpas.</t>
        </is>
      </c>
      <c r="G49" t="inlineStr">
        <is>
          <t>Corrigido</t>
        </is>
      </c>
      <c r="H49" t="inlineStr">
        <is>
          <t>layout_archived</t>
        </is>
      </c>
      <c r="I49" t="inlineStr">
        <is>
          <t>Compare mesmo equipamento, amplitude e RIR. O volume é carga × repetições, não uma medida isolada de progresso.</t>
        </is>
      </c>
    </row>
    <row r="50">
      <c r="A50" s="46" t="n">
        <v>46294.5</v>
      </c>
      <c r="B50" t="inlineStr">
        <is>
          <t>Info</t>
        </is>
      </c>
      <c r="C50" t="inlineStr">
        <is>
          <t>Progressão</t>
        </is>
      </c>
      <c r="D50" t="inlineStr">
        <is>
          <t>linha 5</t>
        </is>
      </c>
      <c r="E50" t="inlineStr">
        <is>
          <t>Cabeçalho refeito na ordem da 4.0 (aba gerada pelo script).</t>
        </is>
      </c>
      <c r="F50" t="inlineStr">
        <is>
          <t>Colunas: Exercício, Grupo, Sessão, Última sessão, Último work, RIR, Tendência, Sugestão, Ficha.</t>
        </is>
      </c>
      <c r="G50" t="inlineStr">
        <is>
          <t>Corrigido</t>
        </is>
      </c>
      <c r="H50" t="inlineStr">
        <is>
          <t>header_rebuilt</t>
        </is>
      </c>
      <c r="I50" t="inlineStr">
        <is>
          <t>Exercício</t>
        </is>
      </c>
    </row>
    <row r="51">
      <c r="A51" s="46" t="n">
        <v>46294.5</v>
      </c>
      <c r="B51" t="inlineStr">
        <is>
          <t>Info</t>
        </is>
      </c>
      <c r="C51" t="inlineStr">
        <is>
          <t>Dieta base</t>
        </is>
      </c>
      <c r="D51" t="inlineStr">
        <is>
          <t>A2:A3</t>
        </is>
      </c>
      <c r="E51" t="inlineStr">
        <is>
          <t>Título e ajuda da aba trocados pelos da 4.0 (sem nomes de cliente nem textos da 3.0).</t>
        </is>
      </c>
      <c r="F51" t="inlineStr">
        <is>
          <t>Reescritos.</t>
        </is>
      </c>
      <c r="G51" t="inlineStr">
        <is>
          <t>Corrigido</t>
        </is>
      </c>
      <c r="H51" t="inlineStr">
        <is>
          <t>title_help</t>
        </is>
      </c>
      <c r="I51" t="inlineStr">
        <is>
          <t>Base do chat ajustada nas porções para aproximar 2.400 kcal e a meta proteica. Ver alterações em Revisões.</t>
        </is>
      </c>
    </row>
    <row r="52">
      <c r="A52" s="46" t="n">
        <v>46294.5</v>
      </c>
      <c r="B52" t="inlineStr">
        <is>
          <t>Info</t>
        </is>
      </c>
      <c r="C52" t="inlineStr">
        <is>
          <t>Ficha de treino</t>
        </is>
      </c>
      <c r="D52" t="inlineStr">
        <is>
          <t>A2:A3</t>
        </is>
      </c>
      <c r="E52" t="inlineStr">
        <is>
          <t>Título e ajuda da aba trocados pelos da 4.0 (sem nomes de cliente nem textos da 3.0).</t>
        </is>
      </c>
      <c r="F52" t="inlineStr">
        <is>
          <t>Reescritos.</t>
        </is>
      </c>
      <c r="G52" t="inlineStr">
        <is>
          <t>Corrigido</t>
        </is>
      </c>
      <c r="H52" t="inlineStr">
        <is>
          <t>title_help</t>
        </is>
      </c>
      <c r="I52" t="inlineStr">
        <is>
          <t>Projeto Breno — ficha vigente F002 | Aquecimento e feeder ficam separados. Apenas as duas work sets entram no volume e na progressão.</t>
        </is>
      </c>
    </row>
    <row r="53">
      <c r="A53" s="46" t="n">
        <v>46294.5</v>
      </c>
      <c r="B53" t="inlineStr">
        <is>
          <t>Info</t>
        </is>
      </c>
      <c r="C53" t="inlineStr">
        <is>
          <t>Medidas e fotos</t>
        </is>
      </c>
      <c r="D53" t="inlineStr">
        <is>
          <t>A2:A3</t>
        </is>
      </c>
      <c r="E53" t="inlineStr">
        <is>
          <t>Título e ajuda da aba trocados pelos da 4.0 (sem nomes de cliente nem textos da 3.0).</t>
        </is>
      </c>
      <c r="F53" t="inlineStr">
        <is>
          <t>Reescritos.</t>
        </is>
      </c>
      <c r="G53" t="inlineStr">
        <is>
          <t>Corrigido</t>
        </is>
      </c>
      <c r="H53" t="inlineStr">
        <is>
          <t>title_help</t>
        </is>
      </c>
      <c r="I53" t="inlineStr">
        <is>
          <t>Cintura semanal. Outras medidas e fotos a cada 4 semanas. Mesma luz, distância e postura relaxada; fotos não medem BF com precisão.</t>
        </is>
      </c>
    </row>
    <row r="54">
      <c r="A54" s="46" t="n">
        <v>46294.5</v>
      </c>
      <c r="B54" t="inlineStr">
        <is>
          <t>Info</t>
        </is>
      </c>
      <c r="C54" t="inlineStr">
        <is>
          <t>Medidas e fotos</t>
        </is>
      </c>
      <c r="D54" t="inlineStr">
        <is>
          <t>linha 5</t>
        </is>
      </c>
      <c r="E54" t="inlineStr">
        <is>
          <t>Aba sem dados: cabeçalho refeito na ordem da 4.0.</t>
        </is>
      </c>
      <c r="F54" t="inlineStr">
        <is>
          <t>Colunas: Data, Cintura umbigo cm, Quadril cm, Peito cm, Braço direito cm, Coxa direita cm, Frente: link, Lado: link, Costas: link, Condições / observações, Objetivo.</t>
        </is>
      </c>
      <c r="G54" t="inlineStr">
        <is>
          <t>Corrigido</t>
        </is>
      </c>
      <c r="H54" t="inlineStr">
        <is>
          <t>header_rebuilt</t>
        </is>
      </c>
      <c r="I54" t="inlineStr">
        <is>
          <t>Data | Cintura umbigo cm | Quadril cm | Peito cm | Braço direito cm | Coxa direita cm | Frente: link | Lado: link | Costas: link | Condições / observações</t>
        </is>
      </c>
    </row>
    <row r="55">
      <c r="A55" s="46" t="n">
        <v>46294.5</v>
      </c>
      <c r="B55" t="inlineStr">
        <is>
          <t>Info</t>
        </is>
      </c>
      <c r="C55" t="inlineStr">
        <is>
          <t>Semanas</t>
        </is>
      </c>
      <c r="D55" t="inlineStr">
        <is>
          <t>A2:A3</t>
        </is>
      </c>
      <c r="E55" t="inlineStr">
        <is>
          <t>Título e ajuda da aba trocados pelos da 4.0 (sem nomes de cliente nem textos da 3.0).</t>
        </is>
      </c>
      <c r="F55" t="inlineStr">
        <is>
          <t>Reescritos.</t>
        </is>
      </c>
      <c r="G55" t="inlineStr">
        <is>
          <t>Corrigido</t>
        </is>
      </c>
      <c r="H55" t="inlineStr">
        <is>
          <t>title_help</t>
        </is>
      </c>
    </row>
    <row r="56">
      <c r="A56" s="46" t="n">
        <v>46294.5</v>
      </c>
      <c r="B56" t="inlineStr">
        <is>
          <t>Info</t>
        </is>
      </c>
      <c r="C56" t="inlineStr">
        <is>
          <t>Semanas</t>
        </is>
      </c>
      <c r="D56" t="inlineStr">
        <is>
          <t>linhas 6+</t>
        </is>
      </c>
      <c r="E56" t="inlineStr">
        <is>
          <t>21 fórmulas por linha removidas; na 4.0 o script grava os valores (sem intervalos fixos).</t>
        </is>
      </c>
      <c r="F56" t="inlineStr">
        <is>
          <t>Valores calculados mantidos; fórmulas retiradas.</t>
        </is>
      </c>
      <c r="G56" t="inlineStr">
        <is>
          <t>Corrigido</t>
        </is>
      </c>
      <c r="H56" t="inlineStr">
        <is>
          <t>formulas_removed</t>
        </is>
      </c>
      <c r="I56" t="inlineStr">
        <is>
          <t>'=IF(A6="","",A6+6)</t>
        </is>
      </c>
    </row>
    <row r="57">
      <c r="A57" s="46" t="n">
        <v>46294.5</v>
      </c>
      <c r="B57" t="inlineStr">
        <is>
          <t>Info</t>
        </is>
      </c>
      <c r="C57" t="inlineStr">
        <is>
          <t>Semanas</t>
        </is>
      </c>
      <c r="D57" t="inlineStr">
        <is>
          <t>linha 5</t>
        </is>
      </c>
      <c r="E57" t="inlineStr">
        <is>
          <t>Aba sem dados: cabeçalho refeito na ordem da 4.0.</t>
        </is>
      </c>
      <c r="F57" t="inlineStr">
        <is>
          <t>Colunas: Início, Fim, Objetivo, Meta, Ficha, Transição na semana, Pesagens, Peso médio 7d, Variação kg, Variação %/sem, Cintura, Variação cintura, Dias com registro, Dias completos, kcal média, Proteína média, Carboidrato médio, Gordura média, Fibra média, Aderência kcal, Aderência proteína, Aderência gordura, Cobertura alimentar, Itens sem cálculo, Treinos, Meta treinos, Volume work, Exercícios com progressão, Sono médio, Fome média, Cansaço médio, Dor máx, Passos médios, Cardio min, Atividades, Suficiência de dados, Situação, Sinais, Motivos, Recomendação, Motivo da recomendação, Próxima revisão, Calculado em.</t>
        </is>
      </c>
      <c r="G57" t="inlineStr">
        <is>
          <t>Corrigido</t>
        </is>
      </c>
      <c r="H57" t="inlineStr">
        <is>
          <t>header_rebuilt</t>
        </is>
      </c>
      <c r="I57" t="inlineStr">
        <is>
          <t>Início | Fim | Pesagens | Peso médio | Variação kg | Cintura | kcal média | Proteína média | Gordura média | Dias completos | Aderência kcal | Aderência proteína | Treinos | Meta treinos | Passos médios | Cardio min | Sono médio | Muay Thai | Situação | Dias com registro | Itens sem cálculo | Cobertura alimentar</t>
        </is>
      </c>
    </row>
    <row r="58">
      <c r="A58" s="46" t="n">
        <v>46294.5</v>
      </c>
      <c r="B58" t="inlineStr">
        <is>
          <t>Info</t>
        </is>
      </c>
      <c r="C58" t="inlineStr">
        <is>
          <t>Alimentação</t>
        </is>
      </c>
      <c r="D58" t="inlineStr">
        <is>
          <t>A2:A3</t>
        </is>
      </c>
      <c r="E58" t="inlineStr">
        <is>
          <t>Título e ajuda da aba trocados pelos da 4.0 (sem nomes de cliente nem textos da 3.0).</t>
        </is>
      </c>
      <c r="F58" t="inlineStr">
        <is>
          <t>Reescritos.</t>
        </is>
      </c>
      <c r="G58" t="inlineStr">
        <is>
          <t>Corrigido</t>
        </is>
      </c>
      <c r="H58" t="inlineStr">
        <is>
          <t>title_help</t>
        </is>
      </c>
      <c r="I58" t="inlineStr">
        <is>
          <t>Consumo confirmado por você. Quantidades na unidade-base; conversão original nas observações. Sem cálculo = macros desconhecidos, nunca zero.</t>
        </is>
      </c>
    </row>
    <row r="59">
      <c r="A59" s="46" t="n">
        <v>46294.5</v>
      </c>
      <c r="B59" t="inlineStr">
        <is>
          <t>Info</t>
        </is>
      </c>
      <c r="C59" t="inlineStr">
        <is>
          <t>Alimentação</t>
        </is>
      </c>
      <c r="D59" t="inlineStr">
        <is>
          <t>linha 5</t>
        </is>
      </c>
      <c r="E59" t="inlineStr">
        <is>
          <t>Aba sem dados: cabeçalho refeito na ordem da 4.0.</t>
        </is>
      </c>
      <c r="F59" t="inlineStr">
        <is>
          <t>Colunas: Data, Refeição, Alimento, Quantidade, Unidade, kcal, Proteína g, Carboidrato g, Gordura g, Fibra g, Medição, Observação, Conferência, ID lançamento, Favorita / versão, Fonte, Cálculo.</t>
        </is>
      </c>
      <c r="G59" t="inlineStr">
        <is>
          <t>Corrigido</t>
        </is>
      </c>
      <c r="H59" t="inlineStr">
        <is>
          <t>header_rebuilt</t>
        </is>
      </c>
      <c r="I59" t="inlineStr">
        <is>
          <t>Data | Refeição | Alimento | Quantidade | Unidade | kcal | Proteína g | Carboidrato g | Gordura g | Fibra g | Medição | Observação | Conferência | ID lançamento | Favorita / versão</t>
        </is>
      </c>
    </row>
    <row r="60">
      <c r="A60" s="46" t="n">
        <v>46294.5</v>
      </c>
      <c r="B60" t="inlineStr">
        <is>
          <t>Info</t>
        </is>
      </c>
      <c r="C60" t="inlineStr">
        <is>
          <t>Registro de treino</t>
        </is>
      </c>
      <c r="D60" t="inlineStr">
        <is>
          <t>A2:A3</t>
        </is>
      </c>
      <c r="E60" t="inlineStr">
        <is>
          <t>Título e ajuda da aba trocados pelos da 4.0 (sem nomes de cliente nem textos da 3.0).</t>
        </is>
      </c>
      <c r="F60" t="inlineStr">
        <is>
          <t>Reescritos.</t>
        </is>
      </c>
      <c r="G60" t="inlineStr">
        <is>
          <t>Corrigido</t>
        </is>
      </c>
      <c r="H60" t="inlineStr">
        <is>
          <t>title_help</t>
        </is>
      </c>
      <c r="I60" t="inlineStr">
        <is>
          <t>Histórico: aquecimento e feeder preservados; volume calculado somente com Work 1 + Work 2. Salvar parcial permite retomar.</t>
        </is>
      </c>
    </row>
    <row r="61">
      <c r="A61" s="46" t="n">
        <v>46294.5</v>
      </c>
      <c r="B61" t="inlineStr">
        <is>
          <t>Info</t>
        </is>
      </c>
      <c r="C61" t="inlineStr">
        <is>
          <t>Registro de treino</t>
        </is>
      </c>
      <c r="D61" t="inlineStr">
        <is>
          <t>linha 5</t>
        </is>
      </c>
      <c r="E61" t="inlineStr">
        <is>
          <t>Aba sem dados: cabeçalho refeito na ordem da 4.0.</t>
        </is>
      </c>
      <c r="F61" t="inlineStr">
        <is>
          <t>Colunas: Data, Sessão, Exercício, Equipamento / carga, Aquecimento kg, Aquecimento reps, Feeder kg, Feeder reps, Work 1 kg, Work 1 reps, Work 2 kg, Work 2 reps, Work sets realizadas, Volume work kg×reps, RIR work 2, Dor 0–10, Observação, Ficha, Work sets prescritas, Reps work mín, Reps work máx, Fase, ID sessão, RIR work 1, Estado sessão, Modelo de séries, Objetivo.</t>
        </is>
      </c>
      <c r="G61" t="inlineStr">
        <is>
          <t>Corrigido</t>
        </is>
      </c>
      <c r="H61" t="inlineStr">
        <is>
          <t>header_rebuilt</t>
        </is>
      </c>
      <c r="I61" t="inlineStr">
        <is>
          <t>Data | Sessão | Exercício | Equipamento / carga | Aquecimento kg | Aquecimento reps | Feeder kg | Feeder reps | Work 1 kg | Work 1 reps | Work 2 kg | Work 2 reps | Work sets realizadas | Volume work kg×reps | RIR work 2 | Dor 0–10 | Observação | Ficha | Work sets prescritas | Reps work mín | Reps work máx | Fase | ID sessão | RIR work 1 | Estado sessão | Modelo de séries</t>
        </is>
      </c>
    </row>
    <row r="62">
      <c r="A62" s="46" t="n">
        <v>46294.5</v>
      </c>
      <c r="B62" t="inlineStr">
        <is>
          <t>Info</t>
        </is>
      </c>
      <c r="C62" t="inlineStr">
        <is>
          <t>Diário</t>
        </is>
      </c>
      <c r="D62" t="inlineStr">
        <is>
          <t>A2:A3</t>
        </is>
      </c>
      <c r="E62" t="inlineStr">
        <is>
          <t>Título e ajuda da aba trocados pelos da 4.0 (sem nomes de cliente nem textos da 3.0).</t>
        </is>
      </c>
      <c r="F62" t="inlineStr">
        <is>
          <t>Reescritos.</t>
        </is>
      </c>
      <c r="G62" t="inlineStr">
        <is>
          <t>Corrigido</t>
        </is>
      </c>
      <c r="H62" t="inlineStr">
        <is>
          <t>title_help</t>
        </is>
      </c>
      <c r="I62" t="inlineStr">
        <is>
          <t>Resumo diário e metas preservadas</t>
        </is>
      </c>
    </row>
    <row r="63">
      <c r="A63" s="46" t="n">
        <v>46294.5</v>
      </c>
      <c r="B63" t="inlineStr">
        <is>
          <t>Info</t>
        </is>
      </c>
      <c r="C63" t="inlineStr">
        <is>
          <t>Diário</t>
        </is>
      </c>
      <c r="D63" t="inlineStr">
        <is>
          <t>linhas 6+</t>
        </is>
      </c>
      <c r="E63" t="inlineStr">
        <is>
          <t>12 fórmulas por linha removidas; na 4.0 o script grava os valores (sem intervalos fixos).</t>
        </is>
      </c>
      <c r="F63" t="inlineStr">
        <is>
          <t>Valores calculados mantidos; fórmulas retiradas.</t>
        </is>
      </c>
      <c r="G63" t="inlineStr">
        <is>
          <t>Corrigido</t>
        </is>
      </c>
      <c r="H63" t="inlineStr">
        <is>
          <t>formulas_removed</t>
        </is>
      </c>
      <c r="I63" t="inlineStr">
        <is>
          <t>'=IF(A6="","",IF(COUNTIFS('Alimentação'!$A$6:$A1000,A6,'Alimentação'!$F$6:$F1000,"&gt;=0")=0,"",SUMIFS('Alimentação'!$F$6:$F1000,'Alimentação'!$A$6:$A1000,A6)))</t>
        </is>
      </c>
    </row>
    <row r="64">
      <c r="A64" s="46" t="n">
        <v>46294.5</v>
      </c>
      <c r="B64" t="inlineStr">
        <is>
          <t>Info</t>
        </is>
      </c>
      <c r="C64" t="inlineStr">
        <is>
          <t>Diário</t>
        </is>
      </c>
      <c r="D64" t="inlineStr">
        <is>
          <t>linha 5</t>
        </is>
      </c>
      <c r="E64" t="inlineStr">
        <is>
          <t>Aba sem dados: cabeçalho refeito na ordem da 4.0.</t>
        </is>
      </c>
      <c r="F64" t="inlineStr">
        <is>
          <t>Colunas: Data, Peso kg, Cintura cm, Sono h, Passos, Cardio min, Atividade min, Atividade, Fome 1–5, Cansaço 1–5, Dor 0–10, Registro alimentar, Observações, Objetivo, Meta, Ficha, kcal, Proteína g, Carboidrato g, Gordura g, Fibra g, Itens sem cálculo, Itens estimados, Treinos, Estado do dia.</t>
        </is>
      </c>
      <c r="G64" t="inlineStr">
        <is>
          <t>Corrigido</t>
        </is>
      </c>
      <c r="H64" t="inlineStr">
        <is>
          <t>header_rebuilt</t>
        </is>
      </c>
      <c r="I64" t="inlineStr">
        <is>
          <t>Data | Peso kg | Sono h | Passos | Cardio min | Muay Thai | Registro alimentar completo | Cintura cm | Fome 1–5 | Cansaço 1–5 | Observações | Meta versão | Meta kcal | Meta proteína | Meta gordura | Meta carbo | Treinos meta | P mín | P máx | Tol kcal | Tol gordura | kcal | Proteína g | Carboidrato g | Gordura g | Fibra g | Treinos | Média peso 7d | Aderência kcal | Aderência proteína | Aderência gordura | Dias peso 7d | Itens sem cálculo</t>
        </is>
      </c>
    </row>
    <row r="65">
      <c r="A65" s="46" t="n">
        <v>46294.5</v>
      </c>
      <c r="B65" t="inlineStr">
        <is>
          <t>Info</t>
        </is>
      </c>
      <c r="C65" t="inlineStr">
        <is>
          <t>Revisões</t>
        </is>
      </c>
      <c r="D65" t="inlineStr">
        <is>
          <t>A2:A3</t>
        </is>
      </c>
      <c r="E65" t="inlineStr">
        <is>
          <t>Título e ajuda da aba trocados pelos da 4.0 (sem nomes de cliente nem textos da 3.0).</t>
        </is>
      </c>
      <c r="F65" t="inlineStr">
        <is>
          <t>Reescritos.</t>
        </is>
      </c>
      <c r="G65" t="inlineStr">
        <is>
          <t>Corrigido</t>
        </is>
      </c>
      <c r="H65" t="inlineStr">
        <is>
          <t>title_help</t>
        </is>
      </c>
      <c r="I65" t="inlineStr">
        <is>
          <t>Registrar mudanças antes de atualizar a ficha ou metas. A planilha não aumenta carga ou muda calorias automaticamente.</t>
        </is>
      </c>
    </row>
    <row r="66">
      <c r="A66" s="46" t="n">
        <v>46294.5</v>
      </c>
      <c r="B66" t="inlineStr">
        <is>
          <t>Info</t>
        </is>
      </c>
      <c r="C66" t="inlineStr">
        <is>
          <t>Revisões</t>
        </is>
      </c>
      <c r="D66" t="inlineStr">
        <is>
          <t>linha 5</t>
        </is>
      </c>
      <c r="E66" t="inlineStr">
        <is>
          <t>Cabeçalhos da 3.0 renomeados (mesma coluna, dados no lugar).</t>
        </is>
      </c>
      <c r="F66" t="inlineStr">
        <is>
          <t>Alteração proposta → Alteração; Resultado após mudança → Resultado</t>
        </is>
      </c>
      <c r="G66" t="inlineStr">
        <is>
          <t>Corrigido</t>
        </is>
      </c>
      <c r="H66" t="inlineStr">
        <is>
          <t>header_renamed</t>
        </is>
      </c>
      <c r="I66" t="inlineStr">
        <is>
          <t>Alteração proposta | Resultado após mudança</t>
        </is>
      </c>
    </row>
    <row r="67">
      <c r="A67" s="46" t="n">
        <v>46294.5</v>
      </c>
      <c r="B67" t="inlineStr">
        <is>
          <t>Info</t>
        </is>
      </c>
      <c r="C67" t="inlineStr">
        <is>
          <t>Revisões</t>
        </is>
      </c>
      <c r="D67" t="inlineStr">
        <is>
          <t>I5:L5</t>
        </is>
      </c>
      <c r="E67" t="inlineStr">
        <is>
          <t>Colunas da 4.0 acrescentadas à direita: Objetivo, Meta, Ficha, Recomendação.</t>
        </is>
      </c>
      <c r="F67" t="inlineStr">
        <is>
          <t>Nenhuma coluna existente foi movida.</t>
        </is>
      </c>
      <c r="G67" t="inlineStr">
        <is>
          <t>Corrigido</t>
        </is>
      </c>
      <c r="H67" t="inlineStr">
        <is>
          <t>columns_added</t>
        </is>
      </c>
    </row>
    <row r="68">
      <c r="A68" s="46" t="n">
        <v>46294.5</v>
      </c>
      <c r="B68" t="inlineStr">
        <is>
          <t>Info</t>
        </is>
      </c>
      <c r="C68" t="inlineStr">
        <is>
          <t>Revisões</t>
        </is>
      </c>
      <c r="D68" t="inlineStr">
        <is>
          <t>A6</t>
        </is>
      </c>
      <c r="E68" t="inlineStr">
        <is>
          <t>Horário retirado da data em "Data" (datas são dias puros).</t>
        </is>
      </c>
      <c r="F68" t="inlineStr">
        <is>
          <t>15/09/2026</t>
        </is>
      </c>
      <c r="G68" t="inlineStr">
        <is>
          <t>Corrigido</t>
        </is>
      </c>
      <c r="H68" t="inlineStr">
        <is>
          <t>date_with_time</t>
        </is>
      </c>
      <c r="I68" t="inlineStr">
        <is>
          <t>15/09/2026 12:00</t>
        </is>
      </c>
    </row>
    <row r="69">
      <c r="A69" s="46" t="n">
        <v>46294.5</v>
      </c>
      <c r="B69" t="inlineStr">
        <is>
          <t>Info</t>
        </is>
      </c>
      <c r="C69" t="inlineStr">
        <is>
          <t>Revisões</t>
        </is>
      </c>
      <c r="D69" t="inlineStr">
        <is>
          <t>A7</t>
        </is>
      </c>
      <c r="E69" t="inlineStr">
        <is>
          <t>Horário retirado da data em "Data" (datas são dias puros).</t>
        </is>
      </c>
      <c r="F69" t="inlineStr">
        <is>
          <t>15/09/2026</t>
        </is>
      </c>
      <c r="G69" t="inlineStr">
        <is>
          <t>Corrigido</t>
        </is>
      </c>
      <c r="H69" t="inlineStr">
        <is>
          <t>date_with_time</t>
        </is>
      </c>
      <c r="I69" t="inlineStr">
        <is>
          <t>15/09/2026 12:00</t>
        </is>
      </c>
    </row>
    <row r="70">
      <c r="A70" s="46" t="n">
        <v>46294.5</v>
      </c>
      <c r="B70" t="inlineStr">
        <is>
          <t>Info</t>
        </is>
      </c>
      <c r="C70" t="inlineStr">
        <is>
          <t>Revisões</t>
        </is>
      </c>
      <c r="D70" t="inlineStr">
        <is>
          <t>A10</t>
        </is>
      </c>
      <c r="E70" t="inlineStr">
        <is>
          <t>Data em texto em "Data" gravada como data.</t>
        </is>
      </c>
      <c r="F70" t="inlineStr">
        <is>
          <t>28/09/2026</t>
        </is>
      </c>
      <c r="G70" t="inlineStr">
        <is>
          <t>Corrigido</t>
        </is>
      </c>
      <c r="H70" t="inlineStr">
        <is>
          <t>text_date</t>
        </is>
      </c>
      <c r="I70" t="inlineStr">
        <is>
          <t>28/09/2026</t>
        </is>
      </c>
    </row>
    <row r="71">
      <c r="A71" s="46" t="n">
        <v>46294.5</v>
      </c>
      <c r="B71" t="inlineStr">
        <is>
          <t>Info</t>
        </is>
      </c>
      <c r="C71" t="inlineStr">
        <is>
          <t>Metas</t>
        </is>
      </c>
      <c r="D71" t="inlineStr">
        <is>
          <t>A2:A3</t>
        </is>
      </c>
      <c r="E71" t="inlineStr">
        <is>
          <t>Título e ajuda da aba trocados pelos da 4.0 (sem nomes de cliente nem textos da 3.0).</t>
        </is>
      </c>
      <c r="F71" t="inlineStr">
        <is>
          <t>Reescritos.</t>
        </is>
      </c>
      <c r="G71" t="inlineStr">
        <is>
          <t>Corrigido</t>
        </is>
      </c>
      <c r="H71" t="inlineStr">
        <is>
          <t>title_help</t>
        </is>
      </c>
      <c r="I71" t="inlineStr">
        <is>
          <t>Após iniciar registros, use Nova meta na tela Hoje. Metas usadas ficam gravadas no dia.</t>
        </is>
      </c>
    </row>
    <row r="72">
      <c r="A72" s="46" t="n">
        <v>46294.5</v>
      </c>
      <c r="B72" t="inlineStr">
        <is>
          <t>Info</t>
        </is>
      </c>
      <c r="C72" t="inlineStr">
        <is>
          <t>Metas</t>
        </is>
      </c>
      <c r="D72" t="inlineStr">
        <is>
          <t>linha 5</t>
        </is>
      </c>
      <c r="E72" t="inlineStr">
        <is>
          <t>Cabeçalhos da 3.0 renomeados (mesma coluna, dados no lugar).</t>
        </is>
      </c>
      <c r="F72" t="inlineStr">
        <is>
          <t>Versão → ID; Vigência → Início; Treinos semana → Treinos/sem</t>
        </is>
      </c>
      <c r="G72" t="inlineStr">
        <is>
          <t>Corrigido</t>
        </is>
      </c>
      <c r="H72" t="inlineStr">
        <is>
          <t>header_renamed</t>
        </is>
      </c>
      <c r="I72" t="inlineStr">
        <is>
          <t>Versão | Vigência | Treinos semana</t>
        </is>
      </c>
    </row>
    <row r="73">
      <c r="A73" s="46" t="n">
        <v>46294.5</v>
      </c>
      <c r="B73" t="inlineStr">
        <is>
          <t>Info</t>
        </is>
      </c>
      <c r="C73" t="inlineStr">
        <is>
          <t>Metas</t>
        </is>
      </c>
      <c r="D73" t="inlineStr">
        <is>
          <t>M5:X5</t>
        </is>
      </c>
      <c r="E73" t="inlineStr">
        <is>
          <t>Colunas da 4.0 acrescentadas à direita: Objetivo, Fim, Status, Fibra g, Cardio/sem, Atividades/sem, Passos/dia, TMB kcal, Método TMB, Fator de atividade, Gasto estimado kcal, Revisor.</t>
        </is>
      </c>
      <c r="F73" t="inlineStr">
        <is>
          <t>Nenhuma coluna existente foi movida.</t>
        </is>
      </c>
      <c r="G73" t="inlineStr">
        <is>
          <t>Corrigido</t>
        </is>
      </c>
      <c r="H73" t="inlineStr">
        <is>
          <t>columns_added</t>
        </is>
      </c>
    </row>
    <row r="74">
      <c r="A74" s="46" t="n">
        <v>46294.5</v>
      </c>
      <c r="B74" t="inlineStr">
        <is>
          <t>Info</t>
        </is>
      </c>
      <c r="C74" t="inlineStr">
        <is>
          <t>Fichas</t>
        </is>
      </c>
      <c r="D74" t="inlineStr">
        <is>
          <t>A2:A3</t>
        </is>
      </c>
      <c r="E74" t="inlineStr">
        <is>
          <t>Título e ajuda da aba trocados pelos da 4.0 (sem nomes de cliente nem textos da 3.0).</t>
        </is>
      </c>
      <c r="F74" t="inlineStr">
        <is>
          <t>Reescritos.</t>
        </is>
      </c>
      <c r="G74" t="inlineStr">
        <is>
          <t>Corrigido</t>
        </is>
      </c>
      <c r="H74" t="inlineStr">
        <is>
          <t>title_help</t>
        </is>
      </c>
      <c r="I74" t="inlineStr">
        <is>
          <t>Edite a proposta em Ficha de treino. Salvar nova ficha arquiva outra versão sem apagar esta.</t>
        </is>
      </c>
    </row>
    <row r="75">
      <c r="A75" s="46" t="n">
        <v>46294.5</v>
      </c>
      <c r="B75" t="inlineStr">
        <is>
          <t>Info</t>
        </is>
      </c>
      <c r="C75" t="inlineStr">
        <is>
          <t>Fichas</t>
        </is>
      </c>
      <c r="D75" t="inlineStr">
        <is>
          <t>P5:R5</t>
        </is>
      </c>
      <c r="E75" t="inlineStr">
        <is>
          <t>Colunas da 4.0 acrescentadas à direita: Início, Fim, Status.</t>
        </is>
      </c>
      <c r="F75" t="inlineStr">
        <is>
          <t>Nenhuma coluna existente foi movida.</t>
        </is>
      </c>
      <c r="G75" t="inlineStr">
        <is>
          <t>Corrigido</t>
        </is>
      </c>
      <c r="H75" t="inlineStr">
        <is>
          <t>columns_added</t>
        </is>
      </c>
    </row>
    <row r="76">
      <c r="A76" s="46" t="n">
        <v>46294.5</v>
      </c>
      <c r="B76" t="inlineStr">
        <is>
          <t>Info</t>
        </is>
      </c>
      <c r="C76" t="inlineStr">
        <is>
          <t>Alimentos</t>
        </is>
      </c>
      <c r="D76" t="inlineStr">
        <is>
          <t>A2:A3</t>
        </is>
      </c>
      <c r="E76" t="inlineStr">
        <is>
          <t>Título e ajuda da aba trocados pelos da 4.0 (sem nomes de cliente nem textos da 3.0).</t>
        </is>
      </c>
      <c r="F76" t="inlineStr">
        <is>
          <t>Reescritos.</t>
        </is>
      </c>
      <c r="G76" t="inlineStr">
        <is>
          <t>Corrigido</t>
        </is>
      </c>
      <c r="H76" t="inlineStr">
        <is>
          <t>title_help</t>
        </is>
      </c>
      <c r="I76" t="inlineStr">
        <is>
          <t>B e C definem a unidade e a porção-base dos nutrientes. M/N: medida caseira opcional. O: qualidade da referência. Não converter ml em g sem densidade.</t>
        </is>
      </c>
    </row>
    <row r="77">
      <c r="A77" s="46" t="n">
        <v>46294.5</v>
      </c>
      <c r="B77" t="inlineStr">
        <is>
          <t>Info</t>
        </is>
      </c>
      <c r="C77" t="inlineStr">
        <is>
          <t>Favoritas</t>
        </is>
      </c>
      <c r="D77" t="inlineStr">
        <is>
          <t>A2:A3</t>
        </is>
      </c>
      <c r="E77" t="inlineStr">
        <is>
          <t>Título e ajuda da aba trocados pelos da 4.0 (sem nomes de cliente nem textos da 3.0).</t>
        </is>
      </c>
      <c r="F77" t="inlineStr">
        <is>
          <t>Reescritos.</t>
        </is>
      </c>
      <c r="G77" t="inlineStr">
        <is>
          <t>Corrigido</t>
        </is>
      </c>
      <c r="H77" t="inlineStr">
        <is>
          <t>title_help</t>
        </is>
      </c>
      <c r="I77" t="inlineStr">
        <is>
          <t>Cadastro pessoal vazio. Use Projeto → Favoritar refeição da data após registrar uma refeição sua.</t>
        </is>
      </c>
    </row>
    <row r="78">
      <c r="A78" s="46" t="n">
        <v>46294.5</v>
      </c>
      <c r="B78" t="inlineStr">
        <is>
          <t>Info</t>
        </is>
      </c>
      <c r="C78" t="inlineStr">
        <is>
          <t>Ingredientes</t>
        </is>
      </c>
      <c r="D78" t="inlineStr">
        <is>
          <t>A2:A3</t>
        </is>
      </c>
      <c r="E78" t="inlineStr">
        <is>
          <t>Título e ajuda da aba trocados pelos da 4.0 (sem nomes de cliente nem textos da 3.0).</t>
        </is>
      </c>
      <c r="F78" t="inlineStr">
        <is>
          <t>Reescritos.</t>
        </is>
      </c>
      <c r="G78" t="inlineStr">
        <is>
          <t>Corrigido</t>
        </is>
      </c>
      <c r="H78" t="inlineStr">
        <is>
          <t>title_help</t>
        </is>
      </c>
      <c r="I78" t="inlineStr">
        <is>
          <t>Ingredientes das suas favoritas. Quantidade sempre na unidade-base do alimento.</t>
        </is>
      </c>
    </row>
    <row r="79">
      <c r="A79" s="46" t="n">
        <v>46294.5</v>
      </c>
      <c r="B79" t="inlineStr">
        <is>
          <t>Info</t>
        </is>
      </c>
      <c r="C79" t="inlineStr">
        <is>
          <t>Equivalências</t>
        </is>
      </c>
      <c r="D79" t="inlineStr">
        <is>
          <t>A2:A3</t>
        </is>
      </c>
      <c r="E79" t="inlineStr">
        <is>
          <t>Título e ajuda da aba trocados pelos da 4.0 (sem nomes de cliente nem textos da 3.0).</t>
        </is>
      </c>
      <c r="F79" t="inlineStr">
        <is>
          <t>Reescritos.</t>
        </is>
      </c>
      <c r="G79" t="inlineStr">
        <is>
          <t>Corrigido</t>
        </is>
      </c>
      <c r="H79" t="inlineStr">
        <is>
          <t>title_help</t>
        </is>
      </c>
      <c r="I79" t="inlineStr">
        <is>
          <t>Trocas igualam um nutriente, não todos os macros. Quantidades calculadas são aproximações; confira o total da dieta.</t>
        </is>
      </c>
    </row>
    <row r="80">
      <c r="A80" s="46" t="n">
        <v>46294.5</v>
      </c>
      <c r="B80" t="inlineStr">
        <is>
          <t>Info</t>
        </is>
      </c>
      <c r="C80" t="inlineStr">
        <is>
          <t>Exercícios</t>
        </is>
      </c>
      <c r="D80" t="inlineStr">
        <is>
          <t>A2:A3</t>
        </is>
      </c>
      <c r="E80" t="inlineStr">
        <is>
          <t>Título e ajuda da aba trocados pelos da 4.0 (sem nomes de cliente nem textos da 3.0).</t>
        </is>
      </c>
      <c r="F80" t="inlineStr">
        <is>
          <t>Reescritos.</t>
        </is>
      </c>
      <c r="G80" t="inlineStr">
        <is>
          <t>Corrigido</t>
        </is>
      </c>
      <c r="H80" t="inlineStr">
        <is>
          <t>title_help</t>
        </is>
      </c>
      <c r="I80" t="inlineStr">
        <is>
          <t>Cadastro expansível de exercícios</t>
        </is>
      </c>
    </row>
    <row r="81">
      <c r="A81" s="46" t="n">
        <v>46294.5</v>
      </c>
      <c r="B81" t="inlineStr">
        <is>
          <t>Info</t>
        </is>
      </c>
      <c r="C81" t="inlineStr">
        <is>
          <t>Guia</t>
        </is>
      </c>
      <c r="D81" t="inlineStr">
        <is>
          <t>A2:A3</t>
        </is>
      </c>
      <c r="E81" t="inlineStr">
        <is>
          <t>Título e ajuda da aba trocados pelos da 4.0 (sem nomes de cliente nem textos da 3.0).</t>
        </is>
      </c>
      <c r="F81" t="inlineStr">
        <is>
          <t>Reescritos.</t>
        </is>
      </c>
      <c r="G81" t="inlineStr">
        <is>
          <t>Corrigido</t>
        </is>
      </c>
      <c r="H81" t="inlineStr">
        <is>
          <t>title_help</t>
        </is>
      </c>
      <c r="I81" t="inlineStr">
        <is>
          <t>Versão 3.0 — Google Sheets. Registro pessoal, estimativas explícitas e foco nas séries de trabalho.</t>
        </is>
      </c>
    </row>
    <row r="82">
      <c r="A82" s="46" t="n">
        <v>46294.5</v>
      </c>
      <c r="B82" t="inlineStr">
        <is>
          <t>Info</t>
        </is>
      </c>
      <c r="C82" t="inlineStr">
        <is>
          <t>Fichas</t>
        </is>
      </c>
      <c r="D82" t="inlineStr">
        <is>
          <t>F001 (22 linhas)</t>
        </is>
      </c>
      <c r="E82" t="inlineStr">
        <is>
          <t>Ficha F001: data técnica 01/01/1900 substituída pela data real; vigência 15/09/2026–27/09/2026, Encerrada.</t>
        </is>
      </c>
      <c r="F82" t="inlineStr">
        <is>
          <t>Início: — → 15/09/2026; Fim: — → 27/09/2026; Status: — → Encerrada; Vigência: 01/01/1900 → 15/09/2026</t>
        </is>
      </c>
      <c r="G82" t="inlineStr">
        <is>
          <t>Corrigido</t>
        </is>
      </c>
      <c r="H82" t="inlineStr">
        <is>
          <t>version_technical_date</t>
        </is>
      </c>
      <c r="I82" t="inlineStr">
        <is>
          <t>Início=—; Fim=—; Status=—; Vigência=01/01/1900</t>
        </is>
      </c>
    </row>
    <row r="83">
      <c r="A83" s="46" t="n">
        <v>46294.5</v>
      </c>
      <c r="B83" t="inlineStr">
        <is>
          <t>Info</t>
        </is>
      </c>
      <c r="C83" t="inlineStr">
        <is>
          <t>Fichas</t>
        </is>
      </c>
      <c r="D83" t="inlineStr">
        <is>
          <t>F002 (22 linhas)</t>
        </is>
      </c>
      <c r="E83" t="inlineStr">
        <is>
          <t>Ficha F002: vigência 28/09/2026–em aberto, Vigente.</t>
        </is>
      </c>
      <c r="F83" t="inlineStr">
        <is>
          <t>Início: — → 28/09/2026; Status: — → Vigente</t>
        </is>
      </c>
      <c r="G83" t="inlineStr">
        <is>
          <t>Corrigido</t>
        </is>
      </c>
      <c r="H83" t="inlineStr">
        <is>
          <t>version_updated</t>
        </is>
      </c>
      <c r="I83" t="inlineStr">
        <is>
          <t>Início=—; Status=—</t>
        </is>
      </c>
    </row>
    <row r="84">
      <c r="A84" s="46" t="n">
        <v>46294.5</v>
      </c>
      <c r="B84" t="inlineStr">
        <is>
          <t>Info</t>
        </is>
      </c>
      <c r="C84" t="inlineStr">
        <is>
          <t>Metas</t>
        </is>
      </c>
      <c r="D84" t="inlineStr">
        <is>
          <t>M001</t>
        </is>
      </c>
      <c r="E84" t="inlineStr">
        <is>
          <t>Meta M001: data técnica 01/01/1900 substituída pela data real; vigência 28/09/2026–em aberto, Vigente.</t>
        </is>
      </c>
      <c r="F84" t="inlineStr">
        <is>
          <t>Cardio/sem: — → 0; Atividades/sem: — → 2; Motivo: Referência inicial dos chats. Vigência inicial técnica; data do projeto no perfil. → Referência inicial dos chats; início real 28/09/2026 (a 3.0 usava 01/01/1900 como vigência técnica).; Revisor: — → Luan; TMB kcal: — → 1673,75; Método TMB: — → Mifflin-St Jeor; Fator de atividade: — → 1,55; Gasto estimado kcal: — → 2594,31; Início: 01/01/1900 → 28/09/2026; Status: — → Vigente</t>
        </is>
      </c>
      <c r="G84" t="inlineStr">
        <is>
          <t>Corrigido</t>
        </is>
      </c>
      <c r="H84" t="inlineStr">
        <is>
          <t>version_technical_date</t>
        </is>
      </c>
      <c r="I84" t="inlineStr">
        <is>
          <t>Cardio/sem=—; Atividades/sem=—; Motivo=Referência inicial dos chats. Vigência inicial técnica; data do projeto no perfil.; Revisor=—; TMB kcal=—; Método TMB=—; Fator de atividade=—; Gasto estimado kcal=—; Início=01/01/1900; Status=—</t>
        </is>
      </c>
    </row>
    <row r="85">
      <c r="A85" s="46" t="n">
        <v>46294.5</v>
      </c>
      <c r="B85" t="inlineStr">
        <is>
          <t>Info</t>
        </is>
      </c>
      <c r="C85" t="inlineStr">
        <is>
          <t>Objetivos</t>
        </is>
      </c>
      <c r="D85" t="inlineStr">
        <is>
          <t>O001</t>
        </is>
      </c>
      <c r="E85" t="inlineStr">
        <is>
          <t>Objetivo O001 criado a partir da configuração do cliente (Vigente desde 28/09/2026).</t>
        </is>
      </c>
      <c r="F85" t="inlineStr">
        <is>
          <t>Objetivo: Recomposição corporal; Tipo de análise: recomposicao; Peso inicial kg: 67; Expectativa principal: Ganhar músculo e acompanhar cintura, desempenho e recuperação; Motivo da mudança: Objetivo inicial (migração 3.0 → 4.0); ID: O001; Início: 28/09/2026; Status: Vigente; kcal iniciais: 2400; Proteína g: 140; Gordura g: 65; Carboidrato g: 313,75; Treinos/sem: 3; Cardio/sem: 0; Atividades/sem: 2; Revisor: Luan</t>
        </is>
      </c>
      <c r="G85" t="inlineStr">
        <is>
          <t>Corrigido</t>
        </is>
      </c>
      <c r="H85" t="inlineStr">
        <is>
          <t>version_created</t>
        </is>
      </c>
    </row>
    <row r="86">
      <c r="A86" s="46" t="n">
        <v>46294.5</v>
      </c>
      <c r="B86" t="inlineStr">
        <is>
          <t>Info</t>
        </is>
      </c>
      <c r="C86" t="inlineStr">
        <is>
          <t>Metas</t>
        </is>
      </c>
      <c r="D86" t="inlineStr">
        <is>
          <t>M001</t>
        </is>
      </c>
      <c r="E86" t="inlineStr">
        <is>
          <t>Meta M001 ligado a O001 (em vigor no início).</t>
        </is>
      </c>
      <c r="F86" t="inlineStr">
        <is>
          <t>Ids gravados.</t>
        </is>
      </c>
      <c r="G86" t="inlineStr">
        <is>
          <t>Corrigido</t>
        </is>
      </c>
      <c r="H86" t="inlineStr">
        <is>
          <t>version_linked</t>
        </is>
      </c>
    </row>
    <row r="87">
      <c r="A87" s="46" t="n">
        <v>46294.5</v>
      </c>
      <c r="B87" t="inlineStr">
        <is>
          <t>Info</t>
        </is>
      </c>
      <c r="C87" t="inlineStr">
        <is>
          <t>Objetivos</t>
        </is>
      </c>
      <c r="D87" t="inlineStr">
        <is>
          <t>O001</t>
        </is>
      </c>
      <c r="E87" t="inlineStr">
        <is>
          <t>Objetivo O001 ligado a M001, F002 (em vigor no início).</t>
        </is>
      </c>
      <c r="F87" t="inlineStr">
        <is>
          <t>Ids gravados.</t>
        </is>
      </c>
      <c r="G87" t="inlineStr">
        <is>
          <t>Corrigido</t>
        </is>
      </c>
      <c r="H87" t="inlineStr">
        <is>
          <t>version_linked</t>
        </is>
      </c>
    </row>
    <row r="88">
      <c r="A88" s="46" t="n">
        <v>46294.5</v>
      </c>
      <c r="B88" t="inlineStr">
        <is>
          <t>Info</t>
        </is>
      </c>
      <c r="C88" t="inlineStr">
        <is>
          <t>Guia</t>
        </is>
      </c>
      <c r="D88" t="inlineStr">
        <is>
          <t>C17</t>
        </is>
      </c>
      <c r="E88" t="inlineStr">
        <is>
          <t>Frase de outro cliente (Zoio) retirada: "Zoio: sequência contínua avança só ao concluir sessão."</t>
        </is>
      </c>
      <c r="F88" t="inlineStr">
        <is>
          <t>Célula ficou vazia.</t>
        </is>
      </c>
      <c r="G88" t="inlineStr">
        <is>
          <t>Corrigido</t>
        </is>
      </c>
      <c r="H88" t="inlineStr">
        <is>
          <t>cross_client</t>
        </is>
      </c>
      <c r="I88" t="inlineStr">
        <is>
          <t>Zoio: sequência contínua avança só ao concluir sessão.</t>
        </is>
      </c>
    </row>
    <row r="89">
      <c r="A89" s="46" t="n">
        <v>46294.5</v>
      </c>
      <c r="B89" t="inlineStr">
        <is>
          <t>Info</t>
        </is>
      </c>
      <c r="C89" t="inlineStr">
        <is>
          <t>Guia</t>
        </is>
      </c>
      <c r="D89" t="inlineStr">
        <is>
          <t>B21</t>
        </is>
      </c>
      <c r="E89" t="inlineStr">
        <is>
          <t>Frase de outro cliente (Zoio) retirada: "Zoio: Push A → Pull A → Legs A → Push B → Pull B → Legs B."</t>
        </is>
      </c>
      <c r="F89" t="inlineStr">
        <is>
          <t>Texto mantido: "Breno: Upper → Lower → Full Body."</t>
        </is>
      </c>
      <c r="G89" t="inlineStr">
        <is>
          <t>Corrigido</t>
        </is>
      </c>
      <c r="H89" t="inlineStr">
        <is>
          <t>cross_client</t>
        </is>
      </c>
      <c r="I89" t="inlineStr">
        <is>
          <t>Zoio: Push A → Pull A → Legs A → Push B → Pull B → Legs B. Breno: Upper → Lower → Full Body.</t>
        </is>
      </c>
    </row>
    <row r="90">
      <c r="A90" s="46" t="n">
        <v>46294.5</v>
      </c>
      <c r="B90" t="inlineStr">
        <is>
          <t>Info</t>
        </is>
      </c>
      <c r="C90" t="inlineStr">
        <is>
          <t>Guia</t>
        </is>
      </c>
      <c r="D90" t="inlineStr">
        <is>
          <t>C21</t>
        </is>
      </c>
      <c r="E90" t="inlineStr">
        <is>
          <t>Frase de outro cliente (Zoio) retirada: "O agendamento semanal não reinicia a rotação do Zoio."</t>
        </is>
      </c>
      <c r="F90" t="inlineStr">
        <is>
          <t>Célula ficou vazia.</t>
        </is>
      </c>
      <c r="G90" t="inlineStr">
        <is>
          <t>Corrigido</t>
        </is>
      </c>
      <c r="H90" t="inlineStr">
        <is>
          <t>cross_client</t>
        </is>
      </c>
      <c r="I90" t="inlineStr">
        <is>
          <t>O agendamento semanal não reinicia a rotação do Zoio.</t>
        </is>
      </c>
    </row>
    <row r="91">
      <c r="A91" s="46" t="n">
        <v>46294.5</v>
      </c>
      <c r="B91" t="inlineStr">
        <is>
          <t>Info</t>
        </is>
      </c>
      <c r="C91" t="inlineStr">
        <is>
          <t>Hoje</t>
        </is>
      </c>
      <c r="D91" t="inlineStr">
        <is>
          <t>E5</t>
        </is>
      </c>
      <c r="E91" t="inlineStr">
        <is>
          <t>Texto de status da 3.0 substituído.</t>
        </is>
      </c>
      <c r="F91" t="inlineStr">
        <is>
          <t>Planilha 4.0: objetivo, meta e ficha em vigor vêm das abas Objetivos, Metas e Fichas.</t>
        </is>
      </c>
      <c r="G91" t="inlineStr">
        <is>
          <t>Corrigido</t>
        </is>
      </c>
      <c r="H91" t="inlineStr">
        <is>
          <t>stale_text</t>
        </is>
      </c>
      <c r="I91" t="inlineStr">
        <is>
          <t>Revisão 3.0 validada: fichas, unidades e volume dos work sets.</t>
        </is>
      </c>
    </row>
    <row r="92">
      <c r="A92" s="46" t="n">
        <v>46294.5</v>
      </c>
      <c r="B92" t="inlineStr">
        <is>
          <t>Info</t>
        </is>
      </c>
      <c r="C92" t="inlineStr">
        <is>
          <t>Revisões</t>
        </is>
      </c>
      <c r="E92" t="inlineStr">
        <is>
          <t>5 linhas receberam os ids em vigor na data (objective, goal, plan).</t>
        </is>
      </c>
      <c r="F92" t="inlineStr">
        <is>
          <t>Só células vazias foram preenchidas.</t>
        </is>
      </c>
      <c r="G92" t="inlineStr">
        <is>
          <t>Corrigido</t>
        </is>
      </c>
      <c r="H92" t="inlineStr">
        <is>
          <t>ids_stamped</t>
        </is>
      </c>
    </row>
    <row r="93">
      <c r="A93" s="46" t="n">
        <v>46294.5</v>
      </c>
      <c r="B93" t="inlineStr">
        <is>
          <t>Info</t>
        </is>
      </c>
      <c r="C93" t="inlineStr">
        <is>
          <t>Hoje</t>
        </is>
      </c>
      <c r="D93" t="inlineStr">
        <is>
          <t>A27:A38</t>
        </is>
      </c>
      <c r="E93" t="inlineStr">
        <is>
          <t>Intervalo nomeado "ListaExercicios" recriado para a lista da validação.</t>
        </is>
      </c>
      <c r="F93" t="inlineStr">
        <is>
          <t>ListaExercicios = Exercícios!A6:A1000.</t>
        </is>
      </c>
      <c r="G93" t="inlineStr">
        <is>
          <t>Corrigido</t>
        </is>
      </c>
      <c r="H93" t="inlineStr">
        <is>
          <t>validation_named_range</t>
        </is>
      </c>
      <c r="I93" t="inlineStr">
        <is>
          <t>ListaExercicios</t>
        </is>
      </c>
    </row>
    <row r="94">
      <c r="A94" s="46" t="n">
        <v>46294.5</v>
      </c>
      <c r="B94" t="inlineStr">
        <is>
          <t>Info</t>
        </is>
      </c>
      <c r="C94" t="inlineStr">
        <is>
          <t>Registro de treino</t>
        </is>
      </c>
      <c r="D94" t="inlineStr">
        <is>
          <t>C6</t>
        </is>
      </c>
      <c r="E94" t="inlineStr">
        <is>
          <t>Intervalo nomeado "ListaExercicios" recriado para a lista da validação.</t>
        </is>
      </c>
      <c r="F94" t="inlineStr">
        <is>
          <t>ListaExercicios = Exercícios!A6:A1000.</t>
        </is>
      </c>
      <c r="G94" t="inlineStr">
        <is>
          <t>Corrigido</t>
        </is>
      </c>
      <c r="H94" t="inlineStr">
        <is>
          <t>validation_named_range</t>
        </is>
      </c>
      <c r="I94" t="inlineStr">
        <is>
          <t>ListaExercicios</t>
        </is>
      </c>
    </row>
    <row r="95">
      <c r="A95" s="46" t="n">
        <v>46294.5</v>
      </c>
      <c r="B95" t="inlineStr">
        <is>
          <t>Info</t>
        </is>
      </c>
      <c r="C95" t="inlineStr">
        <is>
          <t>Painel</t>
        </is>
      </c>
      <c r="E95" t="inlineStr">
        <is>
          <t>21 fórmulas da 3.0 removidas (liam Semanas por posição e com intervalos fixos). Texto digitado mantido.</t>
        </is>
      </c>
      <c r="F95" t="inlineStr">
        <is>
          <t>O Painel passa a ser desenhado pelo script (Atualizar painel / Reaplicar layout).</t>
        </is>
      </c>
      <c r="G95" t="inlineStr">
        <is>
          <t>Corrigido</t>
        </is>
      </c>
      <c r="H95" t="inlineStr">
        <is>
          <t>layout_formulas_removed</t>
        </is>
      </c>
      <c r="I95" t="inlineStr">
        <is>
          <t>'=Hoje!B5-WEEKDAY(Hoje!B5,2)+1</t>
        </is>
      </c>
    </row>
    <row r="96">
      <c r="A96" s="46" t="n">
        <v>46294.5</v>
      </c>
      <c r="B96" t="inlineStr">
        <is>
          <t>Info</t>
        </is>
      </c>
      <c r="C96" t="inlineStr">
        <is>
          <t>Config</t>
        </is>
      </c>
      <c r="D96" t="inlineStr">
        <is>
          <t>system.schemaVersion</t>
        </is>
      </c>
      <c r="E96" t="inlineStr">
        <is>
          <t>Versão do esquema gravada: 4.0.</t>
        </is>
      </c>
      <c r="F96" t="inlineStr">
        <is>
          <t>Rodar a migração de novo não altera nada.</t>
        </is>
      </c>
      <c r="G96" t="inlineStr">
        <is>
          <t>Corrigido</t>
        </is>
      </c>
      <c r="H96" t="inlineStr">
        <is>
          <t>schema_version</t>
        </is>
      </c>
    </row>
    <row r="97">
      <c r="A97" s="46" t="n">
        <v>46294.5</v>
      </c>
      <c r="B97" t="inlineStr">
        <is>
          <t>Aviso</t>
        </is>
      </c>
      <c r="D97" t="inlineStr">
        <is>
          <t>Energia</t>
        </is>
      </c>
      <c r="E97" t="inlineStr">
        <is>
          <t>Fator de atividade 1,55 é uma estimativa; revisar com os primeiros registros de peso e ingestão.</t>
        </is>
      </c>
      <c r="F97" t="inlineStr">
        <is>
          <t>Confirmar com o revisor e ajustar em Config/Metas se preciso.</t>
        </is>
      </c>
      <c r="G97" t="inlineStr">
        <is>
          <t>Revisar</t>
        </is>
      </c>
      <c r="H97" t="inlineStr">
        <is>
          <t>review</t>
        </is>
      </c>
    </row>
    <row r="98">
      <c r="A98" s="46" t="n">
        <v>46294.5</v>
      </c>
      <c r="B98" t="inlineStr">
        <is>
          <t>Aviso</t>
        </is>
      </c>
      <c r="D98" t="inlineStr">
        <is>
          <t>Perfil</t>
        </is>
      </c>
      <c r="E98" t="inlineStr">
        <is>
          <t>Início do acompanhamento (21/09/2026, primeiro registro) é anterior ao início do objetivo O001 e da meta M001 (28/09/2026); confirmar.</t>
        </is>
      </c>
      <c r="F98" t="inlineStr">
        <is>
          <t>Confirmar com o revisor e ajustar em Config/Metas se preciso.</t>
        </is>
      </c>
      <c r="G98" t="inlineStr">
        <is>
          <t>Revisar</t>
        </is>
      </c>
      <c r="H98" t="inlineStr">
        <is>
          <t>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2026-09-29T13:21:51Z</dcterms:created>
  <dcterms:modified xsi:type="dcterms:W3CDTF">2026-09-29T13:21:53Z</dcterms:modified>
</cp:coreProperties>
</file>

<file path=docProps/custom.xml><?xml version="1.0" encoding="utf-8"?>
<Properties xmlns:vt="http://schemas.openxmlformats.org/officeDocument/2006/docPropsVTypes" xmlns="http://schemas.openxmlformats.org/officeDocument/2006/custom-properties">
  <property name="sheet4.grid.0" fmtid="{D5CDD505-2E9C-101B-9397-08002B2CF9AE}" pid="2">
    <vt:lpwstr>1000x32</vt:lpwstr>
  </property>
  <property name="sheet4.grid.1" fmtid="{D5CDD505-2E9C-101B-9397-08002B2CF9AE}" pid="3">
    <vt:lpwstr>1000x26</vt:lpwstr>
  </property>
  <property name="sheet4.grid.2" fmtid="{D5CDD505-2E9C-101B-9397-08002B2CF9AE}" pid="4">
    <vt:lpwstr>1000x33</vt:lpwstr>
  </property>
  <property name="sheet4.grid.3" fmtid="{D5CDD505-2E9C-101B-9397-08002B2CF9AE}" pid="5">
    <vt:lpwstr>1000x26</vt:lpwstr>
  </property>
  <property name="sheet4.grid.4" fmtid="{D5CDD505-2E9C-101B-9397-08002B2CF9AE}" pid="6">
    <vt:lpwstr>1000x26</vt:lpwstr>
  </property>
  <property name="sheet4.grid.5" fmtid="{D5CDD505-2E9C-101B-9397-08002B2CF9AE}" pid="7">
    <vt:lpwstr>1000x27</vt:lpwstr>
  </property>
  <property name="sheet4.grid.6" fmtid="{D5CDD505-2E9C-101B-9397-08002B2CF9AE}" pid="8">
    <vt:lpwstr>1001x26</vt:lpwstr>
  </property>
  <property name="sheet4.grid.7" fmtid="{D5CDD505-2E9C-101B-9397-08002B2CF9AE}" pid="9">
    <vt:lpwstr>1000x26</vt:lpwstr>
  </property>
  <property name="sheet4.grid.8" fmtid="{D5CDD505-2E9C-101B-9397-08002B2CF9AE}" pid="10">
    <vt:lpwstr>1000x26</vt:lpwstr>
  </property>
  <property name="sheet4.grid.9" fmtid="{D5CDD505-2E9C-101B-9397-08002B2CF9AE}" pid="11">
    <vt:lpwstr>1000x33</vt:lpwstr>
  </property>
  <property name="sheet4.grid.10" fmtid="{D5CDD505-2E9C-101B-9397-08002B2CF9AE}" pid="12">
    <vt:lpwstr>1000x43</vt:lpwstr>
  </property>
  <property name="sheet4.grid.11" fmtid="{D5CDD505-2E9C-101B-9397-08002B2CF9AE}" pid="13">
    <vt:lpwstr>1000x26</vt:lpwstr>
  </property>
  <property name="sheet4.grid.12" fmtid="{D5CDD505-2E9C-101B-9397-08002B2CF9AE}" pid="14">
    <vt:lpwstr>1000x26</vt:lpwstr>
  </property>
  <property name="sheet4.grid.13" fmtid="{D5CDD505-2E9C-101B-9397-08002B2CF9AE}" pid="15">
    <vt:lpwstr>1000x26</vt:lpwstr>
  </property>
  <property name="sheet4.grid.14" fmtid="{D5CDD505-2E9C-101B-9397-08002B2CF9AE}" pid="16">
    <vt:lpwstr>1000x26</vt:lpwstr>
  </property>
  <property name="sheet4.grid.15" fmtid="{D5CDD505-2E9C-101B-9397-08002B2CF9AE}" pid="17">
    <vt:lpwstr>1000x32</vt:lpwstr>
  </property>
  <property name="sheet4.grid.16" fmtid="{D5CDD505-2E9C-101B-9397-08002B2CF9AE}" pid="18">
    <vt:lpwstr>1000x26</vt:lpwstr>
  </property>
  <property name="sheet4.grid.17" fmtid="{D5CDD505-2E9C-101B-9397-08002B2CF9AE}" pid="19">
    <vt:lpwstr>1000x33</vt:lpwstr>
  </property>
  <property name="sheet4.grid.18" fmtid="{D5CDD505-2E9C-101B-9397-08002B2CF9AE}" pid="20">
    <vt:lpwstr>1000x28</vt:lpwstr>
  </property>
  <property name="sheet4.grid.19" fmtid="{D5CDD505-2E9C-101B-9397-08002B2CF9AE}" pid="21">
    <vt:lpwstr>1000x30</vt:lpwstr>
  </property>
  <property name="sheet4.grid.20" fmtid="{D5CDD505-2E9C-101B-9397-08002B2CF9AE}" pid="22">
    <vt:lpwstr>1000x26</vt:lpwstr>
  </property>
  <property name="sheet4.grid.21" fmtid="{D5CDD505-2E9C-101B-9397-08002B2CF9AE}" pid="23">
    <vt:lpwstr>1000x26</vt:lpwstr>
  </property>
  <property name="sheet4.grid.22" fmtid="{D5CDD505-2E9C-101B-9397-08002B2CF9AE}" pid="24">
    <vt:lpwstr>1000x26</vt:lpwstr>
  </property>
  <property name="sheet4.grid.23" fmtid="{D5CDD505-2E9C-101B-9397-08002B2CF9AE}" pid="25">
    <vt:lpwstr>1000x26</vt:lpwstr>
  </property>
</Properties>
</file>